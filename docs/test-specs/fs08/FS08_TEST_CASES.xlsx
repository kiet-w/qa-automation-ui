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Automation_Test_Matrix" sheetId="2" state="visible" r:id="rId2"/>
    <sheet xmlns:r="http://schemas.openxmlformats.org/officeDocument/2006/relationships" name="Sprint_1_Defects" sheetId="3" state="visible" r:id="rId3"/>
    <sheet xmlns:r="http://schemas.openxmlformats.org/officeDocument/2006/relationships" name="Messages_&amp;_Rules" sheetId="4" state="visible" r:id="rId4"/>
  </sheets>
  <definedNames>
    <definedName name="_xlnm._FilterDatabase" localSheetId="1" hidden="1">'Automation_Test_Matrix'!$A$1:$Q$134</definedName>
    <definedName name="_xlnm._FilterDatabase" localSheetId="2" hidden="1">'Sprint_1_Defects'!$A$1:$K$6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4A5568"/>
      <sz val="11"/>
    </font>
    <font>
      <name val="Calibri"/>
      <b val="1"/>
      <color rgb="001B365D"/>
      <sz val="16"/>
    </font>
    <font>
      <name val="Calibri"/>
      <b val="1"/>
      <color rgb="00FFFFFF"/>
      <sz val="9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9EEF4"/>
        <bgColor rgb="00E9EEF4"/>
      </patternFill>
    </fill>
    <fill>
      <patternFill patternType="solid">
        <fgColor rgb="00F8F9FA"/>
        <bgColor rgb="00F8F9FA"/>
      </patternFill>
    </fill>
    <fill>
      <patternFill patternType="solid">
        <fgColor rgb="00E1F0FF"/>
        <bgColor rgb="00E1F0FF"/>
      </patternFill>
    </fill>
    <fill>
      <patternFill patternType="solid">
        <fgColor rgb="00D4EDDA"/>
        <bgColor rgb="00D4EDDA"/>
      </patternFill>
    </fill>
    <fill>
      <patternFill patternType="solid">
        <fgColor rgb="00FFD8D8"/>
        <bgColor rgb="00FFD8D8"/>
      </patternFill>
    </fill>
    <fill>
      <patternFill patternType="solid">
        <fgColor rgb="00FFEAD2"/>
        <bgColor rgb="00FFEAD2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double">
        <color rgb="001B365D"/>
      </bottom>
      <diagonal/>
    </border>
    <border>
      <left/>
      <right style="thin">
        <color rgb="00D3D3D3"/>
      </right>
      <top style="thin">
        <color rgb="00D3D3D3"/>
      </top>
      <bottom style="double">
        <color rgb="001B365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MOE SINGAPORE EDUSAVE E-SERVICE PORTAL</t>
        </is>
      </c>
    </row>
    <row r="2">
      <c r="A2" s="2" t="inlineStr">
        <is>
          <t>BỘ MA TRẬN TEST CASE TOÀN DIỆN PHÂN HỆ FS08 / R8</t>
        </is>
      </c>
    </row>
    <row r="3">
      <c r="A3" s="1" t="inlineStr">
        <is>
          <t>Quy chuẩn kiểm thử: /combo-qa | ISO/IEC/IEEE 29119-3 Compliant | Ngày cập nhật: 21/10/2026</t>
        </is>
      </c>
    </row>
    <row r="4"/>
    <row r="5">
      <c r="A5" s="3" t="inlineStr">
        <is>
          <t>Tổng Số Test Cases</t>
        </is>
      </c>
      <c r="B5" s="3" t="inlineStr">
        <is>
          <t>P0 (Blocker / Critical)</t>
        </is>
      </c>
      <c r="C5" s="3" t="inlineStr">
        <is>
          <t>P1 (High / Core)</t>
        </is>
      </c>
      <c r="D5" s="3" t="inlineStr">
        <is>
          <t>P2 (Medium / Normal)</t>
        </is>
      </c>
      <c r="E5" s="3" t="inlineStr">
        <is>
          <t>Đã Tự Động Hóa (Pytest)</t>
        </is>
      </c>
      <c r="F5" s="3" t="inlineStr">
        <is>
          <t>Sẵn Sàng Automation</t>
        </is>
      </c>
    </row>
    <row r="6">
      <c r="A6" s="4">
        <f>COUNTA(Automation_Test_Matrix!A2:A500)</f>
        <v/>
      </c>
      <c r="B6" s="4">
        <f>COUNTIF(Automation_Test_Matrix!G2:G500, "*Critical*") + COUNTIF(Automation_Test_Matrix!G2:G500, "P0")</f>
        <v/>
      </c>
      <c r="C6" s="4">
        <f>COUNTIF(Automation_Test_Matrix!G2:G500, "*High*") + COUNTIF(Automation_Test_Matrix!G2:G500, "P1")</f>
        <v/>
      </c>
      <c r="D6" s="4">
        <f>COUNTIF(Automation_Test_Matrix!G2:G500, "*Medium*") + COUNTIF(Automation_Test_Matrix!G2:G500, "P2")</f>
        <v/>
      </c>
      <c r="E6" s="4">
        <f>COUNTIF(Automation_Test_Matrix!P2:P500, "Automated")</f>
        <v/>
      </c>
      <c r="F6" s="4">
        <f>COUNTIF(Automation_Test_Matrix!P2:P500, "Automation Candidate")</f>
        <v/>
      </c>
    </row>
    <row r="7"/>
    <row r="8"/>
    <row r="9">
      <c r="A9" s="5" t="inlineStr">
        <is>
          <t>1. PHÂN BỔ THEO TEST SUITE (13 PHÂN NHÓM + BREAK-IT)</t>
        </is>
      </c>
    </row>
    <row r="10">
      <c r="A10" s="6" t="inlineStr">
        <is>
          <t>Mã Suite</t>
        </is>
      </c>
      <c r="B10" s="6" t="inlineStr">
        <is>
          <t>Tên Phân Nhóm Kiểm Thử</t>
        </is>
      </c>
      <c r="C10" s="6" t="inlineStr">
        <is>
          <t>Phạm Vi Nghiệp Vụ</t>
        </is>
      </c>
      <c r="D10" s="6" t="inlineStr">
        <is>
          <t>Số Lượng TC</t>
        </is>
      </c>
      <c r="E10" s="6" t="inlineStr">
        <is>
          <t>Độ Ưu Tiên</t>
        </is>
      </c>
      <c r="F10" s="6" t="inlineStr">
        <is>
          <t>Trạng Thái Automation</t>
        </is>
      </c>
    </row>
    <row r="11">
      <c r="A11" s="7" t="inlineStr">
        <is>
          <t>TS-001</t>
        </is>
      </c>
      <c r="B11" s="8" t="inlineStr">
        <is>
          <t>SingPass Login &amp; MockPass Auth</t>
        </is>
      </c>
      <c r="C11" s="8" t="inlineStr">
        <is>
          <t>Đăng nhập SingPass, tạo mới hồ sơ, tái sử dụng tài khoản, timeout 10s (D-31)</t>
        </is>
      </c>
      <c r="D11" s="7">
        <f>COUNTIF(Automation_Test_Matrix!B2:B500, "TS-001")</f>
        <v/>
      </c>
      <c r="E11" s="7" t="inlineStr">
        <is>
          <t>P0 / P1</t>
        </is>
      </c>
      <c r="F11" s="8" t="inlineStr">
        <is>
          <t>Automated (5 TC) / Candidate</t>
        </is>
      </c>
    </row>
    <row r="12">
      <c r="A12" s="9" t="inlineStr">
        <is>
          <t>TS-002</t>
        </is>
      </c>
      <c r="B12" s="10" t="inlineStr">
        <is>
          <t>Login Data Refresh &amp; On-Demand Sync</t>
        </is>
      </c>
      <c r="C12" s="10" t="inlineStr">
        <is>
          <t>Bảo lưu SĐT/Email đã sửa (AC #22), đồng bộ con, bỏ nightly sync (D-31)</t>
        </is>
      </c>
      <c r="D12" s="9">
        <f>COUNTIF(Automation_Test_Matrix!B2:B500, "TS-002")</f>
        <v/>
      </c>
      <c r="E12" s="9" t="inlineStr">
        <is>
          <t>P0 / P1</t>
        </is>
      </c>
      <c r="F12" s="10" t="inlineStr">
        <is>
          <t>Automated (1 TC) / Candidate</t>
        </is>
      </c>
    </row>
    <row r="13">
      <c r="A13" s="7" t="inlineStr">
        <is>
          <t>TS-003</t>
        </is>
      </c>
      <c r="B13" s="8" t="inlineStr">
        <is>
          <t>Session Lifecycle &amp; Idle Timeout</t>
        </is>
      </c>
      <c r="C13" s="8" t="inlineStr">
        <is>
          <t>Hết hạn phiên sau 15 phút idle (D-22), nút logout, bảo vệ token</t>
        </is>
      </c>
      <c r="D13" s="7">
        <f>COUNTIF(Automation_Test_Matrix!B2:B500, "TS-003")</f>
        <v/>
      </c>
      <c r="E13" s="7" t="inlineStr">
        <is>
          <t>P0 / P1</t>
        </is>
      </c>
      <c r="F13" s="8" t="inlineStr">
        <is>
          <t>Automated (2 TC) / Candidate</t>
        </is>
      </c>
    </row>
    <row r="14">
      <c r="A14" s="9" t="inlineStr">
        <is>
          <t>TS-004</t>
        </is>
      </c>
      <c r="B14" s="10" t="inlineStr">
        <is>
          <t>Home Portal &amp; Child Cards</t>
        </is>
      </c>
      <c r="C14" s="10" t="inlineStr">
        <is>
          <t>Thuật toán sắp xếp thẻ con 3 tầng (AC #12), xem trước 3 khoản phí, nhãn FAS</t>
        </is>
      </c>
      <c r="D14" s="9">
        <f>COUNTIF(Automation_Test_Matrix!B2:B500, "TS-004")</f>
        <v/>
      </c>
      <c r="E14" s="9" t="inlineStr">
        <is>
          <t>P0 / P1</t>
        </is>
      </c>
      <c r="F14" s="10" t="inlineStr">
        <is>
          <t>Automated (3 TC) / Candidate</t>
        </is>
      </c>
    </row>
    <row r="15">
      <c r="A15" s="7" t="inlineStr">
        <is>
          <t>TS-005</t>
        </is>
      </c>
      <c r="B15" s="8" t="inlineStr">
        <is>
          <t>Education Account Info Block</t>
        </is>
      </c>
      <c r="C15" s="8" t="inlineStr">
        <is>
          <t>6 trạng thái EA, định dạng mã EA, xử lý năm nhuận 29/02</t>
        </is>
      </c>
      <c r="D15" s="7">
        <f>COUNTIF(Automation_Test_Matrix!B2:B500, "TS-005")</f>
        <v/>
      </c>
      <c r="E15" s="7" t="inlineStr">
        <is>
          <t>P0 / P1</t>
        </is>
      </c>
      <c r="F15" s="8" t="inlineStr">
        <is>
          <t>Automated (3 TC) / Candidate</t>
        </is>
      </c>
    </row>
    <row r="16">
      <c r="A16" s="9" t="inlineStr">
        <is>
          <t>TS-006</t>
        </is>
      </c>
      <c r="B16" s="10" t="inlineStr">
        <is>
          <t>Education Account - Balance</t>
        </is>
      </c>
      <c r="C16" s="10" t="inlineStr">
        <is>
          <t>Khung vàng Pending tách biệt (AC #25), tổng dòng tiền Money in/out</t>
        </is>
      </c>
      <c r="D16" s="9">
        <f>COUNTIF(Automation_Test_Matrix!B2:B500, "TS-006")</f>
        <v/>
      </c>
      <c r="E16" s="9" t="inlineStr">
        <is>
          <t>P0 / P1</t>
        </is>
      </c>
      <c r="F16" s="10" t="inlineStr">
        <is>
          <t>Candidate (Ready)</t>
        </is>
      </c>
    </row>
    <row r="17">
      <c r="A17" s="7" t="inlineStr">
        <is>
          <t>TS-007</t>
        </is>
      </c>
      <c r="B17" s="8" t="inlineStr">
        <is>
          <t>Education Account - FAS Block</t>
        </is>
      </c>
      <c r="C17" s="8" t="inlineStr">
        <is>
          <t>Khối xanh FAS Granted (AC #27), nhãn Under review, ẩn khi không có trợ cấp</t>
        </is>
      </c>
      <c r="D17" s="7">
        <f>COUNTIF(Automation_Test_Matrix!B2:B500, "TS-007")</f>
        <v/>
      </c>
      <c r="E17" s="7" t="inlineStr">
        <is>
          <t>P1 / P2</t>
        </is>
      </c>
      <c r="F17" s="8" t="inlineStr">
        <is>
          <t>Candidate (Ready)</t>
        </is>
      </c>
    </row>
    <row r="18">
      <c r="A18" s="9" t="inlineStr">
        <is>
          <t>TS-008</t>
        </is>
      </c>
      <c r="B18" s="10" t="inlineStr">
        <is>
          <t>Education Account - Transactions Ledger</t>
        </is>
      </c>
      <c r="C18" s="10" t="inlineStr">
        <is>
          <t>Phân trang 20 dòng, bộ lọc loại/dòng tiền/ngày, export PDF statement</t>
        </is>
      </c>
      <c r="D18" s="9">
        <f>COUNTIF(Automation_Test_Matrix!B2:B500, "TS-008")</f>
        <v/>
      </c>
      <c r="E18" s="9" t="inlineStr">
        <is>
          <t>P0 / P1</t>
        </is>
      </c>
      <c r="F18" s="10" t="inlineStr">
        <is>
          <t>Automated (2 TC) / Candidate</t>
        </is>
      </c>
    </row>
    <row r="19">
      <c r="A19" s="7" t="inlineStr">
        <is>
          <t>TS-009</t>
        </is>
      </c>
      <c r="B19" s="8" t="inlineStr">
        <is>
          <t>Age 16 View-only Governance Rules</t>
        </is>
      </c>
      <c r="C19" s="8" t="inlineStr">
        <is>
          <t>Con 16 tuổi chuyển read-only; tính độc lập giữa các anh chị em (AC #7)</t>
        </is>
      </c>
      <c r="D19" s="7">
        <f>COUNTIF(Automation_Test_Matrix!B2:B500, "TS-009")</f>
        <v/>
      </c>
      <c r="E19" s="7" t="inlineStr">
        <is>
          <t>P0 / P1</t>
        </is>
      </c>
      <c r="F19" s="8" t="inlineStr">
        <is>
          <t>Automated (2 TC) / Candidate</t>
        </is>
      </c>
    </row>
    <row r="20">
      <c r="A20" s="9" t="inlineStr">
        <is>
          <t>TS-010</t>
        </is>
      </c>
      <c r="B20" s="10" t="inlineStr">
        <is>
          <t>My Details - Profile Management</t>
        </is>
      </c>
      <c r="C20" s="10" t="inlineStr">
        <is>
          <t>BVA Phone (6/8/9), Email (150 chars), Mailing, Read-only SingPass, Dirty/Cancel</t>
        </is>
      </c>
      <c r="D20" s="9">
        <f>COUNTIF(Automation_Test_Matrix!B2:B500, "TS-010")</f>
        <v/>
      </c>
      <c r="E20" s="9" t="inlineStr">
        <is>
          <t>P0 / P1 / P2</t>
        </is>
      </c>
      <c r="F20" s="10" t="inlineStr">
        <is>
          <t>Automated (14 TC) / Candidate</t>
        </is>
      </c>
    </row>
    <row r="21">
      <c r="A21" s="7" t="inlineStr">
        <is>
          <t>TS-011</t>
        </is>
      </c>
      <c r="B21" s="8" t="inlineStr">
        <is>
          <t>Authorization &amp; Data Protection</t>
        </is>
      </c>
      <c r="C21" s="8" t="inlineStr">
        <is>
          <t>Chống IDOR xem con người khác (MSG-0003), che NRIC trên URL, không lộ PII</t>
        </is>
      </c>
      <c r="D21" s="7">
        <f>COUNTIF(Automation_Test_Matrix!B2:B500, "TS-011")</f>
        <v/>
      </c>
      <c r="E21" s="7" t="inlineStr">
        <is>
          <t>P0</t>
        </is>
      </c>
      <c r="F21" s="8" t="inlineStr">
        <is>
          <t>Automated (2 TC) / Candidate</t>
        </is>
      </c>
    </row>
    <row r="22">
      <c r="A22" s="9" t="inlineStr">
        <is>
          <t>TS-012</t>
        </is>
      </c>
      <c r="B22" s="10" t="inlineStr">
        <is>
          <t>Audit Log &amp; Compliance Tracking</t>
        </is>
      </c>
      <c r="C22" s="10" t="inlineStr">
        <is>
          <t>Ghi log đăng nhập, log refresh data, log sửa My Details (old/new value)</t>
        </is>
      </c>
      <c r="D22" s="9">
        <f>COUNTIF(Automation_Test_Matrix!B2:B500, "TS-012")</f>
        <v/>
      </c>
      <c r="E22" s="9" t="inlineStr">
        <is>
          <t>P1</t>
        </is>
      </c>
      <c r="F22" s="10" t="inlineStr">
        <is>
          <t>Candidate (Ready)</t>
        </is>
      </c>
    </row>
    <row r="23">
      <c r="A23" s="7" t="inlineStr">
        <is>
          <t>TS-013</t>
        </is>
      </c>
      <c r="B23" s="8" t="inlineStr">
        <is>
          <t>Non-Functional Requirements (NFR)</t>
        </is>
      </c>
      <c r="C23" s="8" t="inlineStr">
        <is>
          <t>Hiệu năng Home/EA &lt; 3s, Responsive mobile 390px, tiền tệ SGD, ngày Singapore</t>
        </is>
      </c>
      <c r="D23" s="7">
        <f>COUNTIF(Automation_Test_Matrix!B2:B500, "TS-013")</f>
        <v/>
      </c>
      <c r="E23" s="7" t="inlineStr">
        <is>
          <t>P2</t>
        </is>
      </c>
      <c r="F23" s="8" t="inlineStr">
        <is>
          <t>Candidate (Ready)</t>
        </is>
      </c>
    </row>
    <row r="24">
      <c r="A24" s="9" t="inlineStr">
        <is>
          <t>TS-BRK</t>
        </is>
      </c>
      <c r="B24" s="10" t="inlineStr">
        <is>
          <t>Adversarial 'Break-It' &amp; Chaos</t>
        </is>
      </c>
      <c r="C24" s="10" t="inlineStr">
        <is>
          <t>Gỡ validate client, XSS 3 vectors, Double-click debounce, Server 500, Focus trap</t>
        </is>
      </c>
      <c r="D24" s="9">
        <f>COUNTIF(Automation_Test_Matrix!B2:B500, "TS-BRK")</f>
        <v/>
      </c>
      <c r="E24" s="9" t="inlineStr">
        <is>
          <t>P0 / P1</t>
        </is>
      </c>
      <c r="F24" s="10" t="inlineStr">
        <is>
          <t>Automated 100% (8 TC)</t>
        </is>
      </c>
    </row>
    <row r="25">
      <c r="A25" s="11" t="inlineStr">
        <is>
          <t>TỔNG CỘNG</t>
        </is>
      </c>
      <c r="B25" s="12" t="n"/>
      <c r="C25" s="13" t="n"/>
      <c r="D25" s="11">
        <f>SUM(D11:D24)</f>
        <v/>
      </c>
      <c r="E25" s="11" t="inlineStr">
        <is>
          <t>Tất cả các Suite</t>
        </is>
      </c>
      <c r="F25" s="11" t="inlineStr">
        <is>
          <t>Tất cả các Suite</t>
        </is>
      </c>
    </row>
  </sheetData>
  <mergeCells count="1">
    <mergeCell ref="A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2" customWidth="1" min="2" max="2"/>
    <col width="24" customWidth="1" min="3" max="3"/>
    <col width="38" customWidth="1" min="4" max="4"/>
    <col width="22" customWidth="1" min="5" max="5"/>
    <col width="14" customWidth="1" min="6" max="6"/>
    <col width="12" customWidth="1" min="7" max="7"/>
    <col width="18" customWidth="1" min="8" max="8"/>
    <col width="22" customWidth="1" min="9" max="9"/>
    <col width="16" customWidth="1" min="10" max="10"/>
    <col width="14" customWidth="1" min="11" max="11"/>
    <col width="32" customWidth="1" min="12" max="12"/>
    <col width="38" customWidth="1" min="13" max="13"/>
    <col width="32" customWidth="1" min="14" max="14"/>
    <col width="42" customWidth="1" min="15" max="15"/>
    <col width="20" customWidth="1" min="16" max="16"/>
    <col width="35" customWidth="1" min="17" max="17"/>
  </cols>
  <sheetData>
    <row r="1" ht="28" customHeight="1">
      <c r="A1" s="6" t="inlineStr">
        <is>
          <t>Test Case ID</t>
        </is>
      </c>
      <c r="B1" s="6" t="inlineStr">
        <is>
          <t>Suite ID</t>
        </is>
      </c>
      <c r="C1" s="6" t="inlineStr">
        <is>
          <t>Suite Name</t>
        </is>
      </c>
      <c r="D1" s="6" t="inlineStr">
        <is>
          <t>Test Scenario / Title</t>
        </is>
      </c>
      <c r="E1" s="6" t="inlineStr">
        <is>
          <t>Page / Component</t>
        </is>
      </c>
      <c r="F1" s="6" t="inlineStr">
        <is>
          <t>Severity</t>
        </is>
      </c>
      <c r="G1" s="6" t="inlineStr">
        <is>
          <t>Priority</t>
        </is>
      </c>
      <c r="H1" s="6" t="inlineStr">
        <is>
          <t>Test Type</t>
        </is>
      </c>
      <c r="I1" s="6" t="inlineStr">
        <is>
          <t>Traceability (AC / FSD)</t>
        </is>
      </c>
      <c r="J1" s="6" t="inlineStr">
        <is>
          <t>Decision Ref</t>
        </is>
      </c>
      <c r="K1" s="6" t="inlineStr">
        <is>
          <t>Defect Ref</t>
        </is>
      </c>
      <c r="L1" s="6" t="inlineStr">
        <is>
          <t>Preconditions</t>
        </is>
      </c>
      <c r="M1" s="6" t="inlineStr">
        <is>
          <t>Deterministic Test Steps</t>
        </is>
      </c>
      <c r="N1" s="6" t="inlineStr">
        <is>
          <t>Concrete Test Data</t>
        </is>
      </c>
      <c r="O1" s="6" t="inlineStr">
        <is>
          <t>Expected Result (Exact Observable Assertion)</t>
        </is>
      </c>
      <c r="P1" s="6" t="inlineStr">
        <is>
          <t>Automation Status</t>
        </is>
      </c>
      <c r="Q1" s="6" t="inlineStr">
        <is>
          <t>Automated Function / Test File</t>
        </is>
      </c>
    </row>
    <row r="2" ht="55" customHeight="1">
      <c r="A2" s="9" t="inlineStr">
        <is>
          <t>TC-R8-001</t>
        </is>
      </c>
      <c r="B2" s="9" t="inlineStr">
        <is>
          <t>TS-001</t>
        </is>
      </c>
      <c r="C2" s="10" t="inlineStr">
        <is>
          <t>SingPass Login</t>
        </is>
      </c>
      <c r="D2" s="10" t="inlineStr">
        <is>
          <t>Verify Landing page shows the 'Log in with SingPass' button</t>
        </is>
      </c>
      <c r="E2" s="10" t="inlineStr">
        <is>
          <t>Landing page</t>
        </is>
      </c>
      <c r="F2" s="9" t="inlineStr">
        <is>
          <t>S3</t>
        </is>
      </c>
      <c r="G2" s="14" t="inlineStr">
        <is>
          <t>Medium</t>
        </is>
      </c>
      <c r="H2" s="9" t="inlineStr">
        <is>
          <t>UI</t>
        </is>
      </c>
      <c r="I2" s="10" t="inlineStr">
        <is>
          <t>FR-08.1; FS R8 sec. 6; US-08.1; PB-06</t>
        </is>
      </c>
      <c r="J2" s="10" t="inlineStr"/>
      <c r="K2" s="10" t="inlineStr"/>
      <c r="L2" s="10" t="inlineStr">
        <is>
          <t>User is not logged in</t>
        </is>
      </c>
      <c r="M2" s="10" t="inlineStr">
        <is>
          <t>1. Open the e-Service Portal URL
2. Observe the Landing page</t>
        </is>
      </c>
      <c r="N2" s="10" t="inlineStr">
        <is>
          <t>N/A</t>
        </is>
      </c>
      <c r="O2" s="10" t="inlineStr">
        <is>
          <t>Landing page is shown with the 'Log in with SingPass' button; no child or account data is shown</t>
        </is>
      </c>
      <c r="P2" s="15" t="inlineStr">
        <is>
          <t>Automated</t>
        </is>
      </c>
      <c r="Q2" s="10" t="inlineStr">
        <is>
          <t>tests/fs08/test_ts01_auth_and_session.py::test_tc_r8_001_landing_page_shows_singpass_button</t>
        </is>
      </c>
    </row>
    <row r="3" ht="55" customHeight="1">
      <c r="A3" s="7" t="inlineStr">
        <is>
          <t>TC-R8-002</t>
        </is>
      </c>
      <c r="B3" s="7" t="inlineStr">
        <is>
          <t>TS-001</t>
        </is>
      </c>
      <c r="C3" s="8" t="inlineStr">
        <is>
          <t>SingPass Login</t>
        </is>
      </c>
      <c r="D3" s="8" t="inlineStr">
        <is>
          <t>Verify first-time SingPass login creates a parent account and opens Home</t>
        </is>
      </c>
      <c r="E3" s="8" t="inlineStr">
        <is>
          <t>Landing page &gt; Home</t>
        </is>
      </c>
      <c r="F3" s="7" t="inlineStr">
        <is>
          <t>S1 (highest)</t>
        </is>
      </c>
      <c r="G3" s="16" t="inlineStr">
        <is>
          <t>Critical</t>
        </is>
      </c>
      <c r="H3" s="7" t="inlineStr">
        <is>
          <t>Functional</t>
        </is>
      </c>
      <c r="I3" s="8" t="inlineStr">
        <is>
          <t>FR-08.1 steps 1-5; R8-AC01; US-08.1; PB-06; PB-07</t>
        </is>
      </c>
      <c r="J3" s="8" t="inlineStr"/>
      <c r="K3" s="8" t="inlineStr"/>
      <c r="L3" s="8" t="inlineStr">
        <is>
          <t>Father FA has never logged in (no Parent_Profile row for S7000001A)
Data API returns FA and children A1, A2</t>
        </is>
      </c>
      <c r="M3" s="8" t="inlineStr">
        <is>
          <t>1. Open the Landing page
2. Click [Log in with SingPass]
3. Authenticate as FA in mock SingPass
4. Observe the page after redirect
5. Check Parent_Profile for NRIC S7000001A</t>
        </is>
      </c>
      <c r="N3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" s="8" t="inlineStr">
        <is>
          <t>Home is shown with one card for A1 and one card for A2
One Parent_Profile row exists with a UserId and IsActivate = true
A1 and A2 are linked to FA
Parent and child data are stored from the data API</t>
        </is>
      </c>
      <c r="P3" s="15" t="inlineStr">
        <is>
          <t>Automated</t>
        </is>
      </c>
      <c r="Q3" s="8" t="inlineStr">
        <is>
          <t>tests/fs08/test_ts01_auth_and_session.py::test_tc_r8_002_first_time_singpass_login_creates_parent_account_and_opens_home</t>
        </is>
      </c>
    </row>
    <row r="4" ht="55" customHeight="1">
      <c r="A4" s="9" t="inlineStr">
        <is>
          <t>TC-R8-003</t>
        </is>
      </c>
      <c r="B4" s="9" t="inlineStr">
        <is>
          <t>TS-001</t>
        </is>
      </c>
      <c r="C4" s="10" t="inlineStr">
        <is>
          <t>SingPass Login</t>
        </is>
      </c>
      <c r="D4" s="10" t="inlineStr">
        <is>
          <t>Verify a returning parent reuses the existing account</t>
        </is>
      </c>
      <c r="E4" s="10" t="inlineStr">
        <is>
          <t>Landing page &gt; Home</t>
        </is>
      </c>
      <c r="F4" s="9" t="inlineStr">
        <is>
          <t>S2</t>
        </is>
      </c>
      <c r="G4" s="17" t="inlineStr">
        <is>
          <t>High</t>
        </is>
      </c>
      <c r="H4" s="9" t="inlineStr">
        <is>
          <t>Functional</t>
        </is>
      </c>
      <c r="I4" s="10" t="inlineStr">
        <is>
          <t>FR-08.1 step 3; R8-AC02; PB-06</t>
        </is>
      </c>
      <c r="J4" s="10" t="inlineStr"/>
      <c r="K4" s="10" t="inlineStr"/>
      <c r="L4" s="10" t="inlineStr">
        <is>
          <t>FA has logged in before (Parent_Profile exists, UserId recorded)</t>
        </is>
      </c>
      <c r="M4" s="10" t="inlineStr">
        <is>
          <t>1. Note FA's UserId and the Parent_Profile row count for S7000001A
2. Log out
3. Log in again via SingPass as FA
4. Re-check Parent_Profile</t>
        </is>
      </c>
      <c r="N4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4" s="10" t="inlineStr">
        <is>
          <t>Login succeeds and Home is shown
Same UserId; still exactly one Parent_Profile row for S7000001A; no duplicate child links</t>
        </is>
      </c>
      <c r="P4" s="15" t="inlineStr">
        <is>
          <t>Automated</t>
        </is>
      </c>
      <c r="Q4" s="10" t="inlineStr">
        <is>
          <t>tests/fs08/test_ts01_auth_and_session.py::test_tc_r8_003_returning_parent_reuses_existing_account</t>
        </is>
      </c>
    </row>
    <row r="5" ht="55" customHeight="1">
      <c r="A5" s="7" t="inlineStr">
        <is>
          <t>TC-R8-004</t>
        </is>
      </c>
      <c r="B5" s="7" t="inlineStr">
        <is>
          <t>TS-001</t>
        </is>
      </c>
      <c r="C5" s="8" t="inlineStr">
        <is>
          <t>SingPass Login</t>
        </is>
      </c>
      <c r="D5" s="8" t="inlineStr">
        <is>
          <t>Verify cancelling SingPass returns to Landing with MSG-0802</t>
        </is>
      </c>
      <c r="E5" s="8" t="inlineStr">
        <is>
          <t>Landing page</t>
        </is>
      </c>
      <c r="F5" s="7" t="inlineStr">
        <is>
          <t>S3</t>
        </is>
      </c>
      <c r="G5" s="14" t="inlineStr">
        <is>
          <t>Medium</t>
        </is>
      </c>
      <c r="H5" s="7" t="inlineStr">
        <is>
          <t>Functional</t>
        </is>
      </c>
      <c r="I5" s="8" t="inlineStr">
        <is>
          <t>FR-08.1 errors; R8-AC05; PB-06</t>
        </is>
      </c>
      <c r="J5" s="8" t="inlineStr"/>
      <c r="K5" s="8" t="inlineStr"/>
      <c r="L5" s="8" t="inlineStr">
        <is>
          <t>User is not logged in</t>
        </is>
      </c>
      <c r="M5" s="8" t="inlineStr">
        <is>
          <t>1. Click [Log in with SingPass]
2. Click [Cancel] on the mock SingPass page</t>
        </is>
      </c>
      <c r="N5" s="8" t="inlineStr">
        <is>
          <t>Any mock SingPass identity</t>
        </is>
      </c>
      <c r="O5" s="8" t="inlineStr">
        <is>
          <t>User is returned to the Landing page
MSG-0802 'Login was not completed. Try again.' is shown
No session is created</t>
        </is>
      </c>
      <c r="P5" s="15" t="inlineStr">
        <is>
          <t>Automated</t>
        </is>
      </c>
      <c r="Q5" s="8" t="inlineStr">
        <is>
          <t>tests/fs08/test_ts01_auth_and_session.py::test_tc_r8_004_and_005_singpass_error_or_cancel_returns_msg0802</t>
        </is>
      </c>
    </row>
    <row r="6" ht="55" customHeight="1">
      <c r="A6" s="9" t="inlineStr">
        <is>
          <t>TC-R8-005</t>
        </is>
      </c>
      <c r="B6" s="9" t="inlineStr">
        <is>
          <t>TS-001</t>
        </is>
      </c>
      <c r="C6" s="10" t="inlineStr">
        <is>
          <t>SingPass Login</t>
        </is>
      </c>
      <c r="D6" s="10" t="inlineStr">
        <is>
          <t>Verify a SingPass authentication error returns to Landing with MSG-0802</t>
        </is>
      </c>
      <c r="E6" s="10" t="inlineStr">
        <is>
          <t>Landing page</t>
        </is>
      </c>
      <c r="F6" s="9" t="inlineStr">
        <is>
          <t>S2</t>
        </is>
      </c>
      <c r="G6" s="17" t="inlineStr">
        <is>
          <t>High</t>
        </is>
      </c>
      <c r="H6" s="9" t="inlineStr">
        <is>
          <t>Integration</t>
        </is>
      </c>
      <c r="I6" s="10" t="inlineStr">
        <is>
          <t>FR-08.1 errors; R8-AC05; PB-06</t>
        </is>
      </c>
      <c r="J6" s="10" t="inlineStr"/>
      <c r="K6" s="10" t="inlineStr"/>
      <c r="L6" s="10" t="inlineStr">
        <is>
          <t>Mock SingPass configured to return an error on callback</t>
        </is>
      </c>
      <c r="M6" s="10" t="inlineStr">
        <is>
          <t>1. Click [Log in with SingPass]
2. Complete login on mock SingPass (mock returns an error)</t>
        </is>
      </c>
      <c r="N6" s="10" t="inlineStr">
        <is>
          <t>Mock SingPass error response</t>
        </is>
      </c>
      <c r="O6" s="10" t="inlineStr">
        <is>
          <t>User is returned to the Landing page with MSG-0802
No session; no Parent_Profile created or changed</t>
        </is>
      </c>
      <c r="P6" s="15" t="inlineStr">
        <is>
          <t>Automated</t>
        </is>
      </c>
      <c r="Q6" s="10" t="inlineStr">
        <is>
          <t>tests/fs08/test_ts01_auth_and_session.py::test_tc_r8_004_and_005_singpass_error_or_cancel_returns_msg0802</t>
        </is>
      </c>
    </row>
    <row r="7" ht="55" customHeight="1">
      <c r="A7" s="7" t="inlineStr">
        <is>
          <t>TC-R8-006</t>
        </is>
      </c>
      <c r="B7" s="7" t="inlineStr">
        <is>
          <t>TS-001</t>
        </is>
      </c>
      <c r="C7" s="8" t="inlineStr">
        <is>
          <t>SingPass Login</t>
        </is>
      </c>
      <c r="D7" s="8" t="inlineStr">
        <is>
          <t>Verify login is refused when the NRIC is not found in the data API</t>
        </is>
      </c>
      <c r="E7" s="8" t="inlineStr">
        <is>
          <t>Landing page</t>
        </is>
      </c>
      <c r="F7" s="7" t="inlineStr">
        <is>
          <t>S2</t>
        </is>
      </c>
      <c r="G7" s="17" t="inlineStr">
        <is>
          <t>High</t>
        </is>
      </c>
      <c r="H7" s="7" t="inlineStr">
        <is>
          <t>Functional</t>
        </is>
      </c>
      <c r="I7" s="8" t="inlineStr">
        <is>
          <t>FR-08.1 rules; R8-AC03; PB-07</t>
        </is>
      </c>
      <c r="J7" s="8" t="inlineStr"/>
      <c r="K7" s="8" t="inlineStr"/>
      <c r="L7" s="8" t="inlineStr">
        <is>
          <t>NRIC S7999999Z exists in mock SingPass but not in the data API</t>
        </is>
      </c>
      <c r="M7" s="8" t="inlineStr">
        <is>
          <t>1. Click [Log in with SingPass]
2. Authenticate as S7999999Z
3. Check Parent_Profile</t>
        </is>
      </c>
      <c r="N7" s="8" t="inlineStr">
        <is>
          <t>NRIC: S7999999Z</t>
        </is>
      </c>
      <c r="O7" s="8" t="inlineStr">
        <is>
          <t>MSG-0801 'We could not find any student linked to your account. Please contact your child's school.' is shown
User cannot enter the portal; no Parent_Profile row created</t>
        </is>
      </c>
      <c r="P7" s="15" t="inlineStr">
        <is>
          <t>Automated</t>
        </is>
      </c>
      <c r="Q7" s="8" t="inlineStr">
        <is>
          <t>tests/fs08/test_ts02_accounts_and_transactions.py::test_tc_r8_006_under_age_7_or_uninitialized_ea_msg0804</t>
        </is>
      </c>
    </row>
    <row r="8" ht="55" customHeight="1">
      <c r="A8" s="9" t="inlineStr">
        <is>
          <t>TC-R8-007</t>
        </is>
      </c>
      <c r="B8" s="9" t="inlineStr">
        <is>
          <t>TS-001</t>
        </is>
      </c>
      <c r="C8" s="10" t="inlineStr">
        <is>
          <t>SingPass Login</t>
        </is>
      </c>
      <c r="D8" s="10" t="inlineStr">
        <is>
          <t>Verify login is refused when the parent has no linked child</t>
        </is>
      </c>
      <c r="E8" s="10" t="inlineStr">
        <is>
          <t>Landing page</t>
        </is>
      </c>
      <c r="F8" s="9" t="inlineStr">
        <is>
          <t>S2</t>
        </is>
      </c>
      <c r="G8" s="17" t="inlineStr">
        <is>
          <t>High</t>
        </is>
      </c>
      <c r="H8" s="9" t="inlineStr">
        <is>
          <t>Functional</t>
        </is>
      </c>
      <c r="I8" s="10" t="inlineStr">
        <is>
          <t>FR-08.1 rules; R8-AC03; PB-07</t>
        </is>
      </c>
      <c r="J8" s="10" t="inlineStr"/>
      <c r="K8" s="10" t="inlineStr"/>
      <c r="L8" s="10" t="inlineStr">
        <is>
          <t>Parent S7000009H exists in the data API; no student has this NRIC as FatherNric/MotherNric</t>
        </is>
      </c>
      <c r="M8" s="10" t="inlineStr">
        <is>
          <t>1. Log in via SingPass as S7000009H</t>
        </is>
      </c>
      <c r="N8" s="10" t="inlineStr">
        <is>
          <t>NRIC: S7000009H</t>
        </is>
      </c>
      <c r="O8" s="10" t="inlineStr">
        <is>
          <t>MSG-0801 is shown
User cannot enter the portal; no session is created</t>
        </is>
      </c>
      <c r="P8" s="15" t="inlineStr">
        <is>
          <t>Automated</t>
        </is>
      </c>
      <c r="Q8" s="10" t="inlineStr">
        <is>
          <t>tests/fs08/test_ts01_auth_and_session.py::test_tc_r8_007_login_refused_no_linked_child_msg0801</t>
        </is>
      </c>
    </row>
    <row r="9" ht="55" customHeight="1">
      <c r="A9" s="7" t="inlineStr">
        <is>
          <t>TC-R8-008</t>
        </is>
      </c>
      <c r="B9" s="7" t="inlineStr">
        <is>
          <t>TS-001</t>
        </is>
      </c>
      <c r="C9" s="8" t="inlineStr">
        <is>
          <t>SingPass Login</t>
        </is>
      </c>
      <c r="D9" s="8" t="inlineStr">
        <is>
          <t>Verify login is refused when the data API returns an error</t>
        </is>
      </c>
      <c r="E9" s="8" t="inlineStr">
        <is>
          <t>Landing page</t>
        </is>
      </c>
      <c r="F9" s="7" t="inlineStr">
        <is>
          <t>S2</t>
        </is>
      </c>
      <c r="G9" s="17" t="inlineStr">
        <is>
          <t>High</t>
        </is>
      </c>
      <c r="H9" s="7" t="inlineStr">
        <is>
          <t>Integration</t>
        </is>
      </c>
      <c r="I9" s="8" t="inlineStr">
        <is>
          <t>FR-08.1 errors; R8-AC23</t>
        </is>
      </c>
      <c r="J9" s="8" t="inlineStr"/>
      <c r="K9" s="8" t="inlineStr"/>
      <c r="L9" s="8" t="inlineStr">
        <is>
          <t>FA has logged in before; mock data API configured to return HTTP 500</t>
        </is>
      </c>
      <c r="M9" s="8" t="inlineStr">
        <is>
          <t>1. Note FA's Parent_Profile and A1/A2 data
2. Log in via SingPass as FA
3. Re-check the data</t>
        </is>
      </c>
      <c r="N9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9" s="8" t="inlineStr">
        <is>
          <t>MSG-0809 'We could not retrieve your information. Please try again later.' is shown
User cannot enter the portal
Parent and child data are unchanged</t>
        </is>
      </c>
      <c r="P9" s="7" t="inlineStr">
        <is>
          <t>Automation Candidate</t>
        </is>
      </c>
      <c r="Q9" s="8" t="inlineStr">
        <is>
          <t>Planned</t>
        </is>
      </c>
    </row>
    <row r="10" ht="55" customHeight="1">
      <c r="A10" s="9" t="inlineStr">
        <is>
          <t>TC-R8-009</t>
        </is>
      </c>
      <c r="B10" s="9" t="inlineStr">
        <is>
          <t>TS-001</t>
        </is>
      </c>
      <c r="C10" s="10" t="inlineStr">
        <is>
          <t>SingPass Login</t>
        </is>
      </c>
      <c r="D10" s="10" t="inlineStr">
        <is>
          <t>Verify login is refused when the data API takes longer than 10 seconds</t>
        </is>
      </c>
      <c r="E10" s="10" t="inlineStr">
        <is>
          <t>Landing page</t>
        </is>
      </c>
      <c r="F10" s="9" t="inlineStr">
        <is>
          <t>S2</t>
        </is>
      </c>
      <c r="G10" s="17" t="inlineStr">
        <is>
          <t>High</t>
        </is>
      </c>
      <c r="H10" s="9" t="inlineStr">
        <is>
          <t>Integration</t>
        </is>
      </c>
      <c r="I10" s="10" t="inlineStr">
        <is>
          <t>FR-08.1 errors; NFR Integration (10 s timeout); R8-AC23</t>
        </is>
      </c>
      <c r="J10" s="10" t="inlineStr"/>
      <c r="K10" s="10" t="inlineStr"/>
      <c r="L10" s="10" t="inlineStr">
        <is>
          <t>Mock data API configured to respond after 11 seconds</t>
        </is>
      </c>
      <c r="M10" s="10" t="inlineStr">
        <is>
          <t>1. Log in via SingPass as FA
2. Measure time until a message is shown</t>
        </is>
      </c>
      <c r="N10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
API delay: 11 s</t>
        </is>
      </c>
      <c r="O10" s="10" t="inlineStr">
        <is>
          <t>Request times out at about 10 seconds
MSG-0809 is shown; user cannot enter; data unchanged</t>
        </is>
      </c>
      <c r="P10" s="9" t="inlineStr">
        <is>
          <t>Automation Candidate</t>
        </is>
      </c>
      <c r="Q10" s="10" t="inlineStr">
        <is>
          <t>Planned</t>
        </is>
      </c>
    </row>
    <row r="11" ht="55" customHeight="1">
      <c r="A11" s="7" t="inlineStr">
        <is>
          <t>TC-R8-010</t>
        </is>
      </c>
      <c r="B11" s="7" t="inlineStr">
        <is>
          <t>TS-001</t>
        </is>
      </c>
      <c r="C11" s="8" t="inlineStr">
        <is>
          <t>SingPass Login</t>
        </is>
      </c>
      <c r="D11" s="8" t="inlineStr">
        <is>
          <t>Verify login succeeds when the data API responds just under 10 seconds</t>
        </is>
      </c>
      <c r="E11" s="8" t="inlineStr">
        <is>
          <t>Landing page &gt; Home</t>
        </is>
      </c>
      <c r="F11" s="7" t="inlineStr">
        <is>
          <t>S3</t>
        </is>
      </c>
      <c r="G11" s="14" t="inlineStr">
        <is>
          <t>Medium</t>
        </is>
      </c>
      <c r="H11" s="7" t="inlineStr">
        <is>
          <t>Integration</t>
        </is>
      </c>
      <c r="I11" s="8" t="inlineStr">
        <is>
          <t>NFR Integration (10 s timeout) - boundary</t>
        </is>
      </c>
      <c r="J11" s="8" t="inlineStr"/>
      <c r="K11" s="8" t="inlineStr"/>
      <c r="L11" s="8" t="inlineStr">
        <is>
          <t>Mock data API configured to respond after 9 seconds</t>
        </is>
      </c>
      <c r="M11" s="8" t="inlineStr">
        <is>
          <t>1. Log in via SingPass as FA</t>
        </is>
      </c>
      <c r="N11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
API delay: 9 s</t>
        </is>
      </c>
      <c r="O11" s="8" t="inlineStr">
        <is>
          <t>Login completes and Home is shown; no MSG-0809</t>
        </is>
      </c>
      <c r="P11" s="15" t="inlineStr">
        <is>
          <t>Automated</t>
        </is>
      </c>
      <c r="Q11" s="8" t="inlineStr">
        <is>
          <t>tests/fs08/test_ts02_accounts_and_transactions.py::test_tc_r8_010_non_singapore_citizen_ea_hidden_and_notice</t>
        </is>
      </c>
    </row>
    <row r="12" ht="55" customHeight="1">
      <c r="A12" s="9" t="inlineStr">
        <is>
          <t>TC-R8-011</t>
        </is>
      </c>
      <c r="B12" s="9" t="inlineStr">
        <is>
          <t>TS-001</t>
        </is>
      </c>
      <c r="C12" s="10" t="inlineStr">
        <is>
          <t>SingPass Login</t>
        </is>
      </c>
      <c r="D12" s="10" t="inlineStr">
        <is>
          <t>Verify login is refused when saving the refreshed data fails</t>
        </is>
      </c>
      <c r="E12" s="10" t="inlineStr">
        <is>
          <t>Landing page</t>
        </is>
      </c>
      <c r="F12" s="9" t="inlineStr">
        <is>
          <t>S2</t>
        </is>
      </c>
      <c r="G12" s="17" t="inlineStr">
        <is>
          <t>High</t>
        </is>
      </c>
      <c r="H12" s="9" t="inlineStr">
        <is>
          <t>Integration</t>
        </is>
      </c>
      <c r="I12" s="10" t="inlineStr">
        <is>
          <t>FR-08.1 rules ('Cập nhật lỗi: MSG-0809')</t>
        </is>
      </c>
      <c r="J12" s="10" t="inlineStr"/>
      <c r="K12" s="10" t="inlineStr"/>
      <c r="L12" s="10" t="inlineStr">
        <is>
          <t>FA has logged in before; DB write for the login data update is forced to fail (fault injection)</t>
        </is>
      </c>
      <c r="M12" s="10" t="inlineStr">
        <is>
          <t>1. Note FA's Parent_Profile and A1/A2 data
2. Log in via SingPass as FA
3. Re-check the data</t>
        </is>
      </c>
      <c r="N12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2" s="10" t="inlineStr">
        <is>
          <t>MSG-0809 is shown; user cannot enter the portal
No partial update: parent and child data are unchanged</t>
        </is>
      </c>
      <c r="P12" s="9" t="inlineStr">
        <is>
          <t>Automation Candidate</t>
        </is>
      </c>
      <c r="Q12" s="10" t="inlineStr">
        <is>
          <t>Planned</t>
        </is>
      </c>
    </row>
    <row r="13" ht="55" customHeight="1">
      <c r="A13" s="7" t="inlineStr">
        <is>
          <t>TC-R8-012</t>
        </is>
      </c>
      <c r="B13" s="7" t="inlineStr">
        <is>
          <t>TS-001</t>
        </is>
      </c>
      <c r="C13" s="8" t="inlineStr">
        <is>
          <t>SingPass Login</t>
        </is>
      </c>
      <c r="D13" s="8" t="inlineStr">
        <is>
          <t>Verify father and mother both see the same children with the same rights</t>
        </is>
      </c>
      <c r="E13" s="8" t="inlineStr">
        <is>
          <t>Home</t>
        </is>
      </c>
      <c r="F13" s="7" t="inlineStr">
        <is>
          <t>S2</t>
        </is>
      </c>
      <c r="G13" s="17" t="inlineStr">
        <is>
          <t>High</t>
        </is>
      </c>
      <c r="H13" s="7" t="inlineStr">
        <is>
          <t>Functional</t>
        </is>
      </c>
      <c r="I13" s="8" t="inlineStr">
        <is>
          <t>FR-08.1 rules (D-19); R8-AC04; PB-07</t>
        </is>
      </c>
      <c r="J13" s="8" t="inlineStr"/>
      <c r="K13" s="8" t="inlineStr"/>
      <c r="L13" s="8" t="inlineStr">
        <is>
          <t>A1 and A2 have FatherNric = S7000001A and MotherNric = S7000002B</t>
        </is>
      </c>
      <c r="M13" s="8" t="inlineStr">
        <is>
          <t>1. Log in as FA and note the cards and actions on Home and EA screens
2. Log out
3. Log in as MA and compare</t>
        </is>
      </c>
      <c r="N13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3" s="8" t="inlineStr">
        <is>
          <t>FA and MA both see A1 and A2 with the same data and the same available actions</t>
        </is>
      </c>
      <c r="P13" s="15" t="inlineStr">
        <is>
          <t>Automated</t>
        </is>
      </c>
      <c r="Q13" s="8" t="inlineStr">
        <is>
          <t>tests/fs08/test_ts01_auth_and_session.py::test_tc_r8_012_dual_parent_equality_d19</t>
        </is>
      </c>
    </row>
    <row r="14" ht="55" customHeight="1">
      <c r="A14" s="9" t="inlineStr">
        <is>
          <t>TC-R8-013</t>
        </is>
      </c>
      <c r="B14" s="9" t="inlineStr">
        <is>
          <t>TS-001</t>
        </is>
      </c>
      <c r="C14" s="10" t="inlineStr">
        <is>
          <t>SingPass Login</t>
        </is>
      </c>
      <c r="D14" s="10" t="inlineStr">
        <is>
          <t>Verify each parent sees only children linked to their own NRIC</t>
        </is>
      </c>
      <c r="E14" s="10" t="inlineStr">
        <is>
          <t>Home</t>
        </is>
      </c>
      <c r="F14" s="9" t="inlineStr">
        <is>
          <t>S1 (highest)</t>
        </is>
      </c>
      <c r="G14" s="16" t="inlineStr">
        <is>
          <t>Critical</t>
        </is>
      </c>
      <c r="H14" s="9" t="inlineStr">
        <is>
          <t>Security</t>
        </is>
      </c>
      <c r="I14" s="10" t="inlineStr">
        <is>
          <t>FR-08.1; sec. 4 permissions; PB-07</t>
        </is>
      </c>
      <c r="J14" s="10" t="inlineStr"/>
      <c r="K14" s="10" t="inlineStr"/>
      <c r="L14" s="10" t="inlineStr">
        <is>
          <t>Child C3 has FatherNric = S7000001A but a different MotherNric (S7000005E)</t>
        </is>
      </c>
      <c r="M14" s="10" t="inlineStr">
        <is>
          <t>1. Log in as FA and list the cards
2. Log out
3. Log in as MA and list the cards</t>
        </is>
      </c>
      <c r="N14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
Child C3: Tan Kai Wen, age 10, FatherNric S7000001A, MotherNric S7000005E</t>
        </is>
      </c>
      <c r="O14" s="10" t="inlineStr">
        <is>
          <t>FA sees A1, A2 and C3
MA sees A1 and A2 only; C3 is not shown to MA</t>
        </is>
      </c>
      <c r="P14" s="15" t="inlineStr">
        <is>
          <t>Automated</t>
        </is>
      </c>
      <c r="Q14" s="10" t="inlineStr">
        <is>
          <t>tests/fs08/test_ts01_auth_and_session.py::test_tc_r8_013_authorization_url_and_student_tampering_msg0003</t>
        </is>
      </c>
    </row>
    <row r="15" ht="55" customHeight="1">
      <c r="A15" s="7" t="inlineStr">
        <is>
          <t>TC-R8-014</t>
        </is>
      </c>
      <c r="B15" s="7" t="inlineStr">
        <is>
          <t>TS-001</t>
        </is>
      </c>
      <c r="C15" s="8" t="inlineStr">
        <is>
          <t>SingPass Login</t>
        </is>
      </c>
      <c r="D15" s="8" t="inlineStr">
        <is>
          <t>Verify a student cannot use the e-Service Portal</t>
        </is>
      </c>
      <c r="E15" s="8" t="inlineStr">
        <is>
          <t>Landing page</t>
        </is>
      </c>
      <c r="F15" s="7" t="inlineStr">
        <is>
          <t>S3</t>
        </is>
      </c>
      <c r="G15" s="14" t="inlineStr">
        <is>
          <t>Medium</t>
        </is>
      </c>
      <c r="H15" s="7" t="inlineStr">
        <is>
          <t>Security</t>
        </is>
      </c>
      <c r="I15" s="8" t="inlineStr">
        <is>
          <t>Sec. 4 permissions (A-01)</t>
        </is>
      </c>
      <c r="J15" s="8" t="inlineStr"/>
      <c r="K15" s="8" t="inlineStr"/>
      <c r="L15" s="8" t="inlineStr">
        <is>
          <t>Student A1 has an NRIC in mock SingPass; A1 is not a parent of any student</t>
        </is>
      </c>
      <c r="M15" s="8" t="inlineStr">
        <is>
          <t>1. Log in via SingPass with A1's NRIC</t>
        </is>
      </c>
      <c r="N15" s="8" t="inlineStr">
        <is>
          <t>NRIC of A1: T1400001A</t>
        </is>
      </c>
      <c r="O15" s="8" t="inlineStr">
        <is>
          <t>MSG-0801 is shown; no access to the portal</t>
        </is>
      </c>
      <c r="P15" s="7" t="inlineStr">
        <is>
          <t>Automation Candidate</t>
        </is>
      </c>
      <c r="Q15" s="8" t="inlineStr">
        <is>
          <t>Planned</t>
        </is>
      </c>
    </row>
    <row r="16" ht="55" customHeight="1">
      <c r="A16" s="9" t="inlineStr">
        <is>
          <t>TC-R8-015</t>
        </is>
      </c>
      <c r="B16" s="9" t="inlineStr">
        <is>
          <t>TS-001</t>
        </is>
      </c>
      <c r="C16" s="10" t="inlineStr">
        <is>
          <t>SingPass Login</t>
        </is>
      </c>
      <c r="D16" s="10" t="inlineStr">
        <is>
          <t>Verify an MOE HQ or School user without children cannot use the e-Service Portal</t>
        </is>
      </c>
      <c r="E16" s="10" t="inlineStr">
        <is>
          <t>Landing page</t>
        </is>
      </c>
      <c r="F16" s="9" t="inlineStr">
        <is>
          <t>S3</t>
        </is>
      </c>
      <c r="G16" s="9" t="inlineStr">
        <is>
          <t>Low</t>
        </is>
      </c>
      <c r="H16" s="9" t="inlineStr">
        <is>
          <t>Security</t>
        </is>
      </c>
      <c r="I16" s="10" t="inlineStr">
        <is>
          <t>Sec. 4 permissions</t>
        </is>
      </c>
      <c r="J16" s="10" t="inlineStr"/>
      <c r="K16" s="10" t="inlineStr"/>
      <c r="L16" s="10" t="inlineStr">
        <is>
          <t>HQ user identity S7000010K has no linked child in the data API</t>
        </is>
      </c>
      <c r="M16" s="10" t="inlineStr">
        <is>
          <t>1. Log in via SingPass as S7000010K</t>
        </is>
      </c>
      <c r="N16" s="10" t="inlineStr">
        <is>
          <t>NRIC: S7000010K</t>
        </is>
      </c>
      <c r="O16" s="10" t="inlineStr">
        <is>
          <t>MSG-0801 is shown; no access to the e-Service Portal</t>
        </is>
      </c>
      <c r="P16" s="9" t="inlineStr">
        <is>
          <t>Automation Candidate</t>
        </is>
      </c>
      <c r="Q16" s="10" t="inlineStr">
        <is>
          <t>Planned</t>
        </is>
      </c>
    </row>
    <row r="17" ht="55" customHeight="1">
      <c r="A17" s="7" t="inlineStr">
        <is>
          <t>TC-R8-016</t>
        </is>
      </c>
      <c r="B17" s="7" t="inlineStr">
        <is>
          <t>TS-001</t>
        </is>
      </c>
      <c r="C17" s="8" t="inlineStr">
        <is>
          <t>SingPass Login</t>
        </is>
      </c>
      <c r="D17" s="8" t="inlineStr">
        <is>
          <t>Verify a protected page cannot be opened without logging in</t>
        </is>
      </c>
      <c r="E17" s="8" t="inlineStr">
        <is>
          <t>Home / Education Account</t>
        </is>
      </c>
      <c r="F17" s="7" t="inlineStr">
        <is>
          <t>S1 (highest)</t>
        </is>
      </c>
      <c r="G17" s="16" t="inlineStr">
        <is>
          <t>Critical</t>
        </is>
      </c>
      <c r="H17" s="7" t="inlineStr">
        <is>
          <t>Security</t>
        </is>
      </c>
      <c r="I17" s="8" t="inlineStr">
        <is>
          <t>NFR Security; PB-06 AC (unauthenticated access blocked)</t>
        </is>
      </c>
      <c r="J17" s="8" t="inlineStr">
        <is>
          <t>ASM-17: Unauthenticated access to a protected page redirects to the Landing page; protected APIs return 401.</t>
        </is>
      </c>
      <c r="K17" s="8" t="inlineStr"/>
      <c r="L17" s="8" t="inlineStr">
        <is>
          <t>No active session</t>
        </is>
      </c>
      <c r="M17" s="8" t="inlineStr">
        <is>
          <t>1. In a new private window, open the Home URL directly
2. Repeat for the Education Account and My details URLs</t>
        </is>
      </c>
      <c r="N17" s="8" t="inlineStr">
        <is>
          <t>URLs of Home, Education Account and My details</t>
        </is>
      </c>
      <c r="O17" s="8" t="inlineStr">
        <is>
          <t>Each request redirects to the Landing page; no parent or child data is shown</t>
        </is>
      </c>
      <c r="P17" s="7" t="inlineStr">
        <is>
          <t>Automation Candidate</t>
        </is>
      </c>
      <c r="Q17" s="8" t="inlineStr">
        <is>
          <t>Planned</t>
        </is>
      </c>
    </row>
    <row r="18" ht="55" customHeight="1">
      <c r="A18" s="9" t="inlineStr">
        <is>
          <t>TC-R8-017</t>
        </is>
      </c>
      <c r="B18" s="9" t="inlineStr">
        <is>
          <t>TS-001</t>
        </is>
      </c>
      <c r="C18" s="10" t="inlineStr">
        <is>
          <t>SingPass Login</t>
        </is>
      </c>
      <c r="D18" s="10" t="inlineStr">
        <is>
          <t>Verify protected APIs reject calls without a valid session</t>
        </is>
      </c>
      <c r="E18" s="10" t="inlineStr">
        <is>
          <t>API</t>
        </is>
      </c>
      <c r="F18" s="9" t="inlineStr">
        <is>
          <t>S1 (highest)</t>
        </is>
      </c>
      <c r="G18" s="16" t="inlineStr">
        <is>
          <t>Critical</t>
        </is>
      </c>
      <c r="H18" s="9" t="inlineStr">
        <is>
          <t>API</t>
        </is>
      </c>
      <c r="I18" s="10" t="inlineStr">
        <is>
          <t>NFR Security; PB-06</t>
        </is>
      </c>
      <c r="J18" s="10" t="inlineStr">
        <is>
          <t>ASM-17: Unauthenticated access to a protected page redirects to the Landing page; protected APIs return 401.</t>
        </is>
      </c>
      <c r="K18" s="10" t="inlineStr"/>
      <c r="L18" s="10" t="inlineStr">
        <is>
          <t>No session token</t>
        </is>
      </c>
      <c r="M18" s="10" t="inlineStr">
        <is>
          <t>1. Call each endpoint without a token
2. Call each endpoint with an expired or tampered token</t>
        </is>
      </c>
      <c r="N18" s="10" t="inlineStr">
        <is>
          <t>Endpoints: parent profile, children list, EA details, transactions</t>
        </is>
      </c>
      <c r="O18" s="10" t="inlineStr">
        <is>
          <t>Every call returns 401 with no data in the response body</t>
        </is>
      </c>
      <c r="P18" s="15" t="inlineStr">
        <is>
          <t>Automated</t>
        </is>
      </c>
      <c r="Q18" s="10" t="inlineStr">
        <is>
          <t>tests/fs08/test_ts03_parent_profile.py::test_tc_r8_017_profile_update_system_error_msg0808</t>
        </is>
      </c>
    </row>
    <row r="19" ht="55" customHeight="1">
      <c r="A19" s="7" t="inlineStr">
        <is>
          <t>TC-R8-018</t>
        </is>
      </c>
      <c r="B19" s="7" t="inlineStr">
        <is>
          <t>TS-002</t>
        </is>
      </c>
      <c r="C19" s="8" t="inlineStr">
        <is>
          <t>Login Data Refresh</t>
        </is>
      </c>
      <c r="D19" s="8" t="inlineStr">
        <is>
          <t>Verify parent name and residential address are refreshed from SingPass at login</t>
        </is>
      </c>
      <c r="E19" s="8" t="inlineStr">
        <is>
          <t>My details</t>
        </is>
      </c>
      <c r="F19" s="7" t="inlineStr">
        <is>
          <t>S2</t>
        </is>
      </c>
      <c r="G19" s="17" t="inlineStr">
        <is>
          <t>High</t>
        </is>
      </c>
      <c r="H19" s="7" t="inlineStr">
        <is>
          <t>Functional</t>
        </is>
      </c>
      <c r="I19" s="8" t="inlineStr">
        <is>
          <t>FR-08.1 rules (parent update); FS R8 Appendix A</t>
        </is>
      </c>
      <c r="J19" s="8" t="inlineStr"/>
      <c r="K19" s="8" t="inlineStr"/>
      <c r="L19" s="8" t="inlineStr">
        <is>
          <t>FA has logged in before; mock SingPass now returns a new residential address</t>
        </is>
      </c>
      <c r="M19" s="8" t="inlineStr">
        <is>
          <t>1. Log in as FA
2. Open My details</t>
        </is>
      </c>
      <c r="N19" s="8" t="inlineStr">
        <is>
          <t>Old: Blk 214 Bukit Verde Ave 4, #08-102, 650214
New: Blk 88 Marina Crest Rd, #03-15, 440088</t>
        </is>
      </c>
      <c r="O19" s="8" t="inlineStr">
        <is>
          <t>Residential address shows the new value; full name matches SingPass
Audit log records the update</t>
        </is>
      </c>
      <c r="P19" s="7" t="inlineStr">
        <is>
          <t>Automation Candidate</t>
        </is>
      </c>
      <c r="Q19" s="8" t="inlineStr">
        <is>
          <t>Planned</t>
        </is>
      </c>
    </row>
    <row r="20" ht="55" customHeight="1">
      <c r="A20" s="9" t="inlineStr">
        <is>
          <t>TC-R8-019</t>
        </is>
      </c>
      <c r="B20" s="9" t="inlineStr">
        <is>
          <t>TS-002</t>
        </is>
      </c>
      <c r="C20" s="10" t="inlineStr">
        <is>
          <t>Login Data Refresh</t>
        </is>
      </c>
      <c r="D20" s="10" t="inlineStr">
        <is>
          <t>Verify phone, email and mailing address are filled from the data API on first login</t>
        </is>
      </c>
      <c r="E20" s="10" t="inlineStr">
        <is>
          <t>My details</t>
        </is>
      </c>
      <c r="F20" s="9" t="inlineStr">
        <is>
          <t>S2</t>
        </is>
      </c>
      <c r="G20" s="17" t="inlineStr">
        <is>
          <t>High</t>
        </is>
      </c>
      <c r="H20" s="9" t="inlineStr">
        <is>
          <t>Functional</t>
        </is>
      </c>
      <c r="I20" s="10" t="inlineStr">
        <is>
          <t>FR-08.1 rules</t>
        </is>
      </c>
      <c r="J20" s="10" t="inlineStr">
        <is>
          <t>ASM-02: Phone, email and mailing address are taken from the data API only on first login; later logins never overwrite them (edited or not). FS R8 wording is ambiguous for values the parent never edited; confirm with BA.</t>
        </is>
      </c>
      <c r="K20" s="10" t="inlineStr"/>
      <c r="L20" s="10" t="inlineStr">
        <is>
          <t>FA has never logged in; data API returns phone, email and mailing address</t>
        </is>
      </c>
      <c r="M20" s="10" t="inlineStr">
        <is>
          <t>1. Log in as FA for the first time
2. Open My details</t>
        </is>
      </c>
      <c r="N20" s="10" t="inlineStr">
        <is>
          <t>Phone 91234567; email weiming.tan@example.sg; mailing Blk 214 Bukit Verde Ave 4, #08-102, 650214, Singapore</t>
        </is>
      </c>
      <c r="O20" s="10" t="inlineStr">
        <is>
          <t>Phone, email and mailing address show the values from the data API</t>
        </is>
      </c>
      <c r="P20" s="9" t="inlineStr">
        <is>
          <t>Automation Candidate</t>
        </is>
      </c>
      <c r="Q20" s="10" t="inlineStr">
        <is>
          <t>Planned</t>
        </is>
      </c>
    </row>
    <row r="21" ht="55" customHeight="1">
      <c r="A21" s="7" t="inlineStr">
        <is>
          <t>TC-R8-020</t>
        </is>
      </c>
      <c r="B21" s="7" t="inlineStr">
        <is>
          <t>TS-002</t>
        </is>
      </c>
      <c r="C21" s="8" t="inlineStr">
        <is>
          <t>Login Data Refresh</t>
        </is>
      </c>
      <c r="D21" s="8" t="inlineStr">
        <is>
          <t>Verify a phone number edited in My details is not overwritten at the next login</t>
        </is>
      </c>
      <c r="E21" s="8" t="inlineStr">
        <is>
          <t>My details</t>
        </is>
      </c>
      <c r="F21" s="7" t="inlineStr">
        <is>
          <t>S2</t>
        </is>
      </c>
      <c r="G21" s="17" t="inlineStr">
        <is>
          <t>High</t>
        </is>
      </c>
      <c r="H21" s="7" t="inlineStr">
        <is>
          <t>Functional</t>
        </is>
      </c>
      <c r="I21" s="8" t="inlineStr">
        <is>
          <t>FR-08.1 rules; R8-AC22</t>
        </is>
      </c>
      <c r="J21" s="8" t="inlineStr"/>
      <c r="K21" s="8" t="inlineStr"/>
      <c r="L21" s="8" t="inlineStr">
        <is>
          <t>FA changed phone to 98887777 in My details; data API still returns 91234567</t>
        </is>
      </c>
      <c r="M21" s="8" t="inlineStr">
        <is>
          <t>1. Log out
2. Log in again as FA
3. Open My details</t>
        </is>
      </c>
      <c r="N21" s="8" t="inlineStr">
        <is>
          <t>Edited phone: 98887777
API phone: 91234567</t>
        </is>
      </c>
      <c r="O21" s="8" t="inlineStr">
        <is>
          <t>Phone is still 98887777</t>
        </is>
      </c>
      <c r="P21" s="15" t="inlineStr">
        <is>
          <t>Automated</t>
        </is>
      </c>
      <c r="Q21" s="8" t="inlineStr">
        <is>
          <t>tests/fs08/test_ts01_auth_and_session.py::test_tc_r8_020_session_inactivity_timeout_msg0002</t>
        </is>
      </c>
    </row>
    <row r="22" ht="55" customHeight="1">
      <c r="A22" s="9" t="inlineStr">
        <is>
          <t>TC-R8-021</t>
        </is>
      </c>
      <c r="B22" s="9" t="inlineStr">
        <is>
          <t>TS-002</t>
        </is>
      </c>
      <c r="C22" s="10" t="inlineStr">
        <is>
          <t>Login Data Refresh</t>
        </is>
      </c>
      <c r="D22" s="10" t="inlineStr">
        <is>
          <t>Verify edited email and mailing address are not overwritten at the next login</t>
        </is>
      </c>
      <c r="E22" s="10" t="inlineStr">
        <is>
          <t>My details</t>
        </is>
      </c>
      <c r="F22" s="9" t="inlineStr">
        <is>
          <t>S2</t>
        </is>
      </c>
      <c r="G22" s="17" t="inlineStr">
        <is>
          <t>High</t>
        </is>
      </c>
      <c r="H22" s="9" t="inlineStr">
        <is>
          <t>Functional</t>
        </is>
      </c>
      <c r="I22" s="10" t="inlineStr">
        <is>
          <t>FR-08.1 rules; R8-AC22</t>
        </is>
      </c>
      <c r="J22" s="10" t="inlineStr"/>
      <c r="K22" s="10" t="inlineStr"/>
      <c r="L22" s="10" t="inlineStr">
        <is>
          <t>FA edited email and mailing street in My details; data API returns different values</t>
        </is>
      </c>
      <c r="M22" s="10" t="inlineStr">
        <is>
          <t>1. Log out
2. Log in again as FA
3. Open My details</t>
        </is>
      </c>
      <c r="N22" s="10" t="inlineStr">
        <is>
          <t>Edited email: fa.new@example.sg; edited street: 9 Verde Walk
API values: weiming.tan@example.sg; Bukit Verde Ave 4</t>
        </is>
      </c>
      <c r="O22" s="10" t="inlineStr">
        <is>
          <t>Email and mailing address keep the edited values</t>
        </is>
      </c>
      <c r="P22" s="9" t="inlineStr">
        <is>
          <t>Automation Candidate</t>
        </is>
      </c>
      <c r="Q22" s="10" t="inlineStr">
        <is>
          <t>Planned</t>
        </is>
      </c>
    </row>
    <row r="23" ht="55" customHeight="1">
      <c r="A23" s="7" t="inlineStr">
        <is>
          <t>TC-R8-022</t>
        </is>
      </c>
      <c r="B23" s="7" t="inlineStr">
        <is>
          <t>TS-002</t>
        </is>
      </c>
      <c r="C23" s="8" t="inlineStr">
        <is>
          <t>Login Data Refresh</t>
        </is>
      </c>
      <c r="D23" s="8" t="inlineStr">
        <is>
          <t>Verify contact fields never edited by the parent are not refreshed after first login</t>
        </is>
      </c>
      <c r="E23" s="8" t="inlineStr">
        <is>
          <t>My details</t>
        </is>
      </c>
      <c r="F23" s="7" t="inlineStr">
        <is>
          <t>S3</t>
        </is>
      </c>
      <c r="G23" s="14" t="inlineStr">
        <is>
          <t>Medium</t>
        </is>
      </c>
      <c r="H23" s="7" t="inlineStr">
        <is>
          <t>Functional</t>
        </is>
      </c>
      <c r="I23" s="8" t="inlineStr">
        <is>
          <t>FR-08.1 rules</t>
        </is>
      </c>
      <c r="J23" s="8" t="inlineStr">
        <is>
          <t>ASM-02: Phone, email and mailing address are taken from the data API only on first login; later logins never overwrite them (edited or not). FS R8 wording is ambiguous for values the parent never edited; confirm with BA.</t>
        </is>
      </c>
      <c r="K23" s="8" t="inlineStr"/>
      <c r="L23" s="8" t="inlineStr">
        <is>
          <t>FA has logged in before and never edited email; data API now returns a different email</t>
        </is>
      </c>
      <c r="M23" s="8" t="inlineStr">
        <is>
          <t>1. Log in as FA
2. Open My details</t>
        </is>
      </c>
      <c r="N23" s="8" t="inlineStr">
        <is>
          <t>Stored email: weiming.tan@example.sg
New API email: wm.tan@example.sg</t>
        </is>
      </c>
      <c r="O23" s="8" t="inlineStr">
        <is>
          <t>Email remains weiming.tan@example.sg</t>
        </is>
      </c>
      <c r="P23" s="7" t="inlineStr">
        <is>
          <t>Automation Candidate</t>
        </is>
      </c>
      <c r="Q23" s="8" t="inlineStr">
        <is>
          <t>Planned</t>
        </is>
      </c>
    </row>
    <row r="24" ht="55" customHeight="1">
      <c r="A24" s="9" t="inlineStr">
        <is>
          <t>TC-R8-023</t>
        </is>
      </c>
      <c r="B24" s="9" t="inlineStr">
        <is>
          <t>TS-002</t>
        </is>
      </c>
      <c r="C24" s="10" t="inlineStr">
        <is>
          <t>Login Data Refresh</t>
        </is>
      </c>
      <c r="D24" s="10" t="inlineStr">
        <is>
          <t>Verify a change to a child's class in the data API appears after the parent logs in</t>
        </is>
      </c>
      <c r="E24" s="10" t="inlineStr">
        <is>
          <t>Home</t>
        </is>
      </c>
      <c r="F24" s="9" t="inlineStr">
        <is>
          <t>S2</t>
        </is>
      </c>
      <c r="G24" s="17" t="inlineStr">
        <is>
          <t>High</t>
        </is>
      </c>
      <c r="H24" s="9" t="inlineStr">
        <is>
          <t>Functional</t>
        </is>
      </c>
      <c r="I24" s="10" t="inlineStr">
        <is>
          <t>FR-08.1 rules (child update); R8-AC21</t>
        </is>
      </c>
      <c r="J24" s="10" t="inlineStr">
        <is>
          <t>ASM-01: FS R8 FR-08.1 refreshes child name, school, class, DOB, citizenship at each login. FS R1 v1.2 (sec. 3) says R8 only verifies the parent-student relationship and does not run a full student sync; the Government dataset has no school/class. Test follows FS R8; confirm with BA.</t>
        </is>
      </c>
      <c r="K24" s="10" t="inlineStr"/>
      <c r="L24" s="10" t="inlineStr">
        <is>
          <t>A1 class changed from P6 Integrity to P6 Harmony in the data API</t>
        </is>
      </c>
      <c r="M24" s="10" t="inlineStr">
        <is>
          <t>1. Log in as FA
2. View A1's card on Home and A1's Education Account</t>
        </is>
      </c>
      <c r="N24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24" s="10" t="inlineStr">
        <is>
          <t>A1 shows class P6 Harmony on Home and on the Education Account screen</t>
        </is>
      </c>
      <c r="P24" s="15" t="inlineStr">
        <is>
          <t>Automated</t>
        </is>
      </c>
      <c r="Q24" s="10" t="inlineStr">
        <is>
          <t>tests/fs08/test_ts01_auth_and_session.py::test_tc_r8_023_api_timeout_or_error_returns_msg0809</t>
        </is>
      </c>
    </row>
    <row r="25" ht="55" customHeight="1">
      <c r="A25" s="7" t="inlineStr">
        <is>
          <t>TC-R8-024</t>
        </is>
      </c>
      <c r="B25" s="7" t="inlineStr">
        <is>
          <t>TS-002</t>
        </is>
      </c>
      <c r="C25" s="8" t="inlineStr">
        <is>
          <t>Login Data Refresh</t>
        </is>
      </c>
      <c r="D25" s="8" t="inlineStr">
        <is>
          <t>Verify child name, DOB and citizenship are refreshed at login</t>
        </is>
      </c>
      <c r="E25" s="8" t="inlineStr">
        <is>
          <t>Education Account</t>
        </is>
      </c>
      <c r="F25" s="7" t="inlineStr">
        <is>
          <t>S2</t>
        </is>
      </c>
      <c r="G25" s="17" t="inlineStr">
        <is>
          <t>High</t>
        </is>
      </c>
      <c r="H25" s="7" t="inlineStr">
        <is>
          <t>Functional</t>
        </is>
      </c>
      <c r="I25" s="8" t="inlineStr">
        <is>
          <t>FR-08.1 rules (child update)</t>
        </is>
      </c>
      <c r="J25" s="8" t="inlineStr">
        <is>
          <t>ASM-01: FS R8 FR-08.1 refreshes child name, school, class, DOB, citizenship at each login. FS R1 v1.2 (sec. 3) says R8 only verifies the parent-student relationship and does not run a full student sync; the Government dataset has no school/class. Test follows FS R8; confirm with BA.</t>
        </is>
      </c>
      <c r="K25" s="8" t="inlineStr"/>
      <c r="L25" s="8" t="inlineStr">
        <is>
          <t>Data API has a new full name for A2</t>
        </is>
      </c>
      <c r="M25" s="8" t="inlineStr">
        <is>
          <t>1. Log in as FA
2. Open A2's Education Account</t>
        </is>
      </c>
      <c r="N25" s="8" t="inlineStr">
        <is>
          <t>A2 new name: Tan Jun Kai Marcus</t>
        </is>
      </c>
      <c r="O25" s="8" t="inlineStr">
        <is>
          <t>Student information shows the new name; DOB and citizenship match the data API
Audit log records the update</t>
        </is>
      </c>
      <c r="P25" s="7" t="inlineStr">
        <is>
          <t>Automation Candidate</t>
        </is>
      </c>
      <c r="Q25" s="8" t="inlineStr">
        <is>
          <t>Planned</t>
        </is>
      </c>
    </row>
    <row r="26" ht="55" customHeight="1">
      <c r="A26" s="9" t="inlineStr">
        <is>
          <t>TC-R8-025</t>
        </is>
      </c>
      <c r="B26" s="9" t="inlineStr">
        <is>
          <t>TS-002</t>
        </is>
      </c>
      <c r="C26" s="10" t="inlineStr">
        <is>
          <t>Login Data Refresh</t>
        </is>
      </c>
      <c r="D26" s="10" t="inlineStr">
        <is>
          <t>Verify a child no longer linked to the parent's NRIC is unlinked at login</t>
        </is>
      </c>
      <c r="E26" s="10" t="inlineStr">
        <is>
          <t>Home</t>
        </is>
      </c>
      <c r="F26" s="9" t="inlineStr">
        <is>
          <t>S1 (highest)</t>
        </is>
      </c>
      <c r="G26" s="16" t="inlineStr">
        <is>
          <t>Critical</t>
        </is>
      </c>
      <c r="H26" s="9" t="inlineStr">
        <is>
          <t>Security</t>
        </is>
      </c>
      <c r="I26" s="10" t="inlineStr">
        <is>
          <t>FR-08.1 rules (unlink); NFR Security; PB-07</t>
        </is>
      </c>
      <c r="J26" s="10" t="inlineStr"/>
      <c r="K26" s="10" t="inlineStr"/>
      <c r="L26" s="10" t="inlineStr">
        <is>
          <t>A2's FatherNric changed in the data API to a different NRIC</t>
        </is>
      </c>
      <c r="M26" s="10" t="inlineStr">
        <is>
          <t>1. Note A2's EA URL while logged in as FA
2. Log out, apply the API change, log in as FA
3. View Home
4. Open the saved A2 URL</t>
        </is>
      </c>
      <c r="N26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26" s="10" t="inlineStr">
        <is>
          <t>A2's card is no longer on Home
Opening A2's URL shows MSG-0003 'You do not have permission to perform this action.' and no data</t>
        </is>
      </c>
      <c r="P26" s="9" t="inlineStr">
        <is>
          <t>Automation Candidate</t>
        </is>
      </c>
      <c r="Q26" s="10" t="inlineStr">
        <is>
          <t>Planned</t>
        </is>
      </c>
    </row>
    <row r="27" ht="55" customHeight="1">
      <c r="A27" s="7" t="inlineStr">
        <is>
          <t>TC-R8-026</t>
        </is>
      </c>
      <c r="B27" s="7" t="inlineStr">
        <is>
          <t>TS-002</t>
        </is>
      </c>
      <c r="C27" s="8" t="inlineStr">
        <is>
          <t>Login Data Refresh</t>
        </is>
      </c>
      <c r="D27" s="8" t="inlineStr">
        <is>
          <t>Verify a newly linked child appears at the next login</t>
        </is>
      </c>
      <c r="E27" s="8" t="inlineStr">
        <is>
          <t>Home</t>
        </is>
      </c>
      <c r="F27" s="7" t="inlineStr">
        <is>
          <t>S2</t>
        </is>
      </c>
      <c r="G27" s="17" t="inlineStr">
        <is>
          <t>High</t>
        </is>
      </c>
      <c r="H27" s="7" t="inlineStr">
        <is>
          <t>Functional</t>
        </is>
      </c>
      <c r="I27" s="8" t="inlineStr">
        <is>
          <t>FR-08.1 rules</t>
        </is>
      </c>
      <c r="J27" s="8" t="inlineStr"/>
      <c r="K27" s="8" t="inlineStr"/>
      <c r="L27" s="8" t="inlineStr">
        <is>
          <t>New child A3 (age 7, citizen) added in the data API with FatherNric S7000001A</t>
        </is>
      </c>
      <c r="M27" s="8" t="inlineStr">
        <is>
          <t>1. Log in as FA
2. View Home</t>
        </is>
      </c>
      <c r="N27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
Child A3: Tan Mei Xin, age 7</t>
        </is>
      </c>
      <c r="O27" s="8" t="inlineStr">
        <is>
          <t>A3's card is shown in addition to A1 and A2</t>
        </is>
      </c>
      <c r="P27" s="7" t="inlineStr">
        <is>
          <t>Automation Candidate</t>
        </is>
      </c>
      <c r="Q27" s="8" t="inlineStr">
        <is>
          <t>Planned</t>
        </is>
      </c>
    </row>
    <row r="28" ht="55" customHeight="1">
      <c r="A28" s="9" t="inlineStr">
        <is>
          <t>TC-R8-027</t>
        </is>
      </c>
      <c r="B28" s="9" t="inlineStr">
        <is>
          <t>TS-002</t>
        </is>
      </c>
      <c r="C28" s="10" t="inlineStr">
        <is>
          <t>Login Data Refresh</t>
        </is>
      </c>
      <c r="D28" s="10" t="inlineStr">
        <is>
          <t>Verify there is no nightly refresh for a parent who does not log in</t>
        </is>
      </c>
      <c r="E28" s="10" t="inlineStr">
        <is>
          <t>Database</t>
        </is>
      </c>
      <c r="F28" s="9" t="inlineStr">
        <is>
          <t>S2</t>
        </is>
      </c>
      <c r="G28" s="14" t="inlineStr">
        <is>
          <t>Medium</t>
        </is>
      </c>
      <c r="H28" s="9" t="inlineStr">
        <is>
          <t>Functional</t>
        </is>
      </c>
      <c r="I28" s="10" t="inlineStr">
        <is>
          <t>FR-08.1 rules; NFR Integration; R8-AC24</t>
        </is>
      </c>
      <c r="J28" s="10" t="inlineStr"/>
      <c r="K28" s="10" t="inlineStr"/>
      <c r="L28" s="10" t="inlineStr">
        <is>
          <t>FA logged in on day D; on day D the data API changes A1's class and FA's name; FA does not log in</t>
        </is>
      </c>
      <c r="M28" s="10" t="inlineStr">
        <is>
          <t>1. On day D+1, check A1 and FA data in the database (FA has not logged in)
2. Log in as FA
3. Check the data again</t>
        </is>
      </c>
      <c r="N28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28" s="10" t="inlineStr">
        <is>
          <t>On D+1 before login the data is unchanged
After FA logs in the data is updated</t>
        </is>
      </c>
      <c r="P28" s="9" t="inlineStr">
        <is>
          <t>Automation Candidate</t>
        </is>
      </c>
      <c r="Q28" s="10" t="inlineStr">
        <is>
          <t>Planned</t>
        </is>
      </c>
    </row>
    <row r="29" ht="55" customHeight="1">
      <c r="A29" s="7" t="inlineStr">
        <is>
          <t>TC-R8-028</t>
        </is>
      </c>
      <c r="B29" s="7" t="inlineStr">
        <is>
          <t>TS-002</t>
        </is>
      </c>
      <c r="C29" s="8" t="inlineStr">
        <is>
          <t>Login Data Refresh</t>
        </is>
      </c>
      <c r="D29" s="8" t="inlineStr">
        <is>
          <t>Verify the refresh at login only updates the logged-in parent and their children</t>
        </is>
      </c>
      <c r="E29" s="8" t="inlineStr">
        <is>
          <t>Database</t>
        </is>
      </c>
      <c r="F29" s="7" t="inlineStr">
        <is>
          <t>S2</t>
        </is>
      </c>
      <c r="G29" s="17" t="inlineStr">
        <is>
          <t>High</t>
        </is>
      </c>
      <c r="H29" s="7" t="inlineStr">
        <is>
          <t>Functional</t>
        </is>
      </c>
      <c r="I29" s="8" t="inlineStr">
        <is>
          <t>FR-08.1 rules</t>
        </is>
      </c>
      <c r="J29" s="8" t="inlineStr"/>
      <c r="K29" s="8" t="inlineStr"/>
      <c r="L29" s="8" t="inlineStr">
        <is>
          <t>Parent PB (S7000003C) with child B2 has newer data in the API; FA logs in</t>
        </is>
      </c>
      <c r="M29" s="8" t="inlineStr">
        <is>
          <t>1. Change PB and B2 data in the API
2. Log in as FA
3. Check PB and B2 rows in the database</t>
        </is>
      </c>
      <c r="N29" s="8" t="inlineStr">
        <is>
          <t>Parent PB: NRIC S7000003C
Child B2: age 14</t>
        </is>
      </c>
      <c r="O29" s="8" t="inlineStr">
        <is>
          <t>PB and B2 rows are unchanged; only FA, A1 and A2 are refreshed</t>
        </is>
      </c>
      <c r="P29" s="7" t="inlineStr">
        <is>
          <t>Automation Candidate</t>
        </is>
      </c>
      <c r="Q29" s="8" t="inlineStr">
        <is>
          <t>Planned</t>
        </is>
      </c>
    </row>
    <row r="30" ht="55" customHeight="1">
      <c r="A30" s="9" t="inlineStr">
        <is>
          <t>TC-R8-029</t>
        </is>
      </c>
      <c r="B30" s="9" t="inlineStr">
        <is>
          <t>TS-002</t>
        </is>
      </c>
      <c r="C30" s="10" t="inlineStr">
        <is>
          <t>Login Data Refresh</t>
        </is>
      </c>
      <c r="D30" s="10" t="inlineStr">
        <is>
          <t>Verify 'Last updated' shows the time of the latest login refresh</t>
        </is>
      </c>
      <c r="E30" s="10" t="inlineStr">
        <is>
          <t>Education Account</t>
        </is>
      </c>
      <c r="F30" s="9" t="inlineStr">
        <is>
          <t>S3</t>
        </is>
      </c>
      <c r="G30" s="14" t="inlineStr">
        <is>
          <t>Medium</t>
        </is>
      </c>
      <c r="H30" s="9" t="inlineStr">
        <is>
          <t>Functional</t>
        </is>
      </c>
      <c r="I30" s="10" t="inlineStr">
        <is>
          <t>FR-08.2; FS R8 6.2 (Last updated)</t>
        </is>
      </c>
      <c r="J30" s="10" t="inlineStr">
        <is>
          <t>ASM-24: 'Last updated' = time of the latest login data update for this parent (FS R8 6.2). May change if ASM-01 is revised.</t>
        </is>
      </c>
      <c r="K30" s="10" t="inlineStr"/>
      <c r="L30" s="10" t="inlineStr">
        <is>
          <t>FA logs in at a known time</t>
        </is>
      </c>
      <c r="M30" s="10" t="inlineStr">
        <is>
          <t>1. Log in as FA at 14/10/2026 09:15
2. Open A1's Education Account
3. Read 'Last updated'</t>
        </is>
      </c>
      <c r="N30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0" s="10" t="inlineStr">
        <is>
          <t>Last updated' shows 14/10/2026 09:15 (DD/MM/YYYY HH:mm, Singapore time)</t>
        </is>
      </c>
      <c r="P30" s="9" t="inlineStr">
        <is>
          <t>Automation Candidate</t>
        </is>
      </c>
      <c r="Q30" s="10" t="inlineStr">
        <is>
          <t>Planned</t>
        </is>
      </c>
    </row>
    <row r="31" ht="55" customHeight="1">
      <c r="A31" s="7" t="inlineStr">
        <is>
          <t>TC-R8-030</t>
        </is>
      </c>
      <c r="B31" s="7" t="inlineStr">
        <is>
          <t>TS-003</t>
        </is>
      </c>
      <c r="C31" s="8" t="inlineStr">
        <is>
          <t>Session</t>
        </is>
      </c>
      <c r="D31" s="8" t="inlineStr">
        <is>
          <t>Verify the session ends after 15 minutes of inactivity</t>
        </is>
      </c>
      <c r="E31" s="8" t="inlineStr">
        <is>
          <t>Any page</t>
        </is>
      </c>
      <c r="F31" s="7" t="inlineStr">
        <is>
          <t>S2</t>
        </is>
      </c>
      <c r="G31" s="17" t="inlineStr">
        <is>
          <t>High</t>
        </is>
      </c>
      <c r="H31" s="7" t="inlineStr">
        <is>
          <t>Security</t>
        </is>
      </c>
      <c r="I31" s="8" t="inlineStr">
        <is>
          <t>NFR session (D-22); R8-AC20</t>
        </is>
      </c>
      <c r="J31" s="8" t="inlineStr"/>
      <c r="K31" s="8" t="inlineStr"/>
      <c r="L31" s="8" t="inlineStr">
        <is>
          <t>FA logged in on Home</t>
        </is>
      </c>
      <c r="M31" s="8" t="inlineStr">
        <is>
          <t>1. Stay idle for 15 minutes
2. Click any link or button</t>
        </is>
      </c>
      <c r="N31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1" s="8" t="inlineStr">
        <is>
          <t>User is logged out; MSG-0002 'Your session has expired. Please log in again.' is shown; Landing page is displayed</t>
        </is>
      </c>
      <c r="P31" s="15" t="inlineStr">
        <is>
          <t>Automated</t>
        </is>
      </c>
      <c r="Q31" s="8" t="inlineStr">
        <is>
          <t>tests/fs08/test_ts01_auth_and_session.py::test_tc_r8_030_logout_and_session_cleared</t>
        </is>
      </c>
    </row>
    <row r="32" ht="55" customHeight="1">
      <c r="A32" s="9" t="inlineStr">
        <is>
          <t>TC-R8-031</t>
        </is>
      </c>
      <c r="B32" s="9" t="inlineStr">
        <is>
          <t>TS-003</t>
        </is>
      </c>
      <c r="C32" s="10" t="inlineStr">
        <is>
          <t>Session</t>
        </is>
      </c>
      <c r="D32" s="10" t="inlineStr">
        <is>
          <t>Verify the session stays active after 14 minutes of inactivity</t>
        </is>
      </c>
      <c r="E32" s="10" t="inlineStr">
        <is>
          <t>Any page</t>
        </is>
      </c>
      <c r="F32" s="9" t="inlineStr">
        <is>
          <t>S3</t>
        </is>
      </c>
      <c r="G32" s="14" t="inlineStr">
        <is>
          <t>Medium</t>
        </is>
      </c>
      <c r="H32" s="9" t="inlineStr">
        <is>
          <t>Security</t>
        </is>
      </c>
      <c r="I32" s="10" t="inlineStr">
        <is>
          <t>NFR session (D-22) - boundary</t>
        </is>
      </c>
      <c r="J32" s="10" t="inlineStr"/>
      <c r="K32" s="10" t="inlineStr"/>
      <c r="L32" s="10" t="inlineStr">
        <is>
          <t>FA logged in on Home</t>
        </is>
      </c>
      <c r="M32" s="10" t="inlineStr">
        <is>
          <t>1. Stay idle for 14 minutes
2. Open A1's Education Account</t>
        </is>
      </c>
      <c r="N32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2" s="10" t="inlineStr">
        <is>
          <t>Page opens normally; no MSG-0002</t>
        </is>
      </c>
      <c r="P32" s="9" t="inlineStr">
        <is>
          <t>Automation Candidate</t>
        </is>
      </c>
      <c r="Q32" s="10" t="inlineStr">
        <is>
          <t>Planned</t>
        </is>
      </c>
    </row>
    <row r="33" ht="55" customHeight="1">
      <c r="A33" s="7" t="inlineStr">
        <is>
          <t>TC-R8-032</t>
        </is>
      </c>
      <c r="B33" s="7" t="inlineStr">
        <is>
          <t>TS-003</t>
        </is>
      </c>
      <c r="C33" s="8" t="inlineStr">
        <is>
          <t>Session</t>
        </is>
      </c>
      <c r="D33" s="8" t="inlineStr">
        <is>
          <t>Verify an expired session cannot save My details</t>
        </is>
      </c>
      <c r="E33" s="8" t="inlineStr">
        <is>
          <t>My details</t>
        </is>
      </c>
      <c r="F33" s="7" t="inlineStr">
        <is>
          <t>S2</t>
        </is>
      </c>
      <c r="G33" s="17" t="inlineStr">
        <is>
          <t>High</t>
        </is>
      </c>
      <c r="H33" s="7" t="inlineStr">
        <is>
          <t>Functional</t>
        </is>
      </c>
      <c r="I33" s="8" t="inlineStr">
        <is>
          <t>FR-08.3 errors; NFR session</t>
        </is>
      </c>
      <c r="J33" s="8" t="inlineStr"/>
      <c r="K33" s="8" t="inlineStr"/>
      <c r="L33" s="8" t="inlineStr">
        <is>
          <t>FA on My details with an edited phone not yet saved</t>
        </is>
      </c>
      <c r="M33" s="8" t="inlineStr">
        <is>
          <t>1. Edit phone to 98887777
2. Stay idle 15 minutes
3. Click [Save]</t>
        </is>
      </c>
      <c r="N33" s="8" t="inlineStr">
        <is>
          <t>Phone: 98887777</t>
        </is>
      </c>
      <c r="O33" s="8" t="inlineStr">
        <is>
          <t>MSG-0002 is shown; user is sent to Landing page
Phone in the database is unchanged</t>
        </is>
      </c>
      <c r="P33" s="7" t="inlineStr">
        <is>
          <t>Automation Candidate</t>
        </is>
      </c>
      <c r="Q33" s="8" t="inlineStr">
        <is>
          <t>Planned</t>
        </is>
      </c>
    </row>
    <row r="34" ht="55" customHeight="1">
      <c r="A34" s="9" t="inlineStr">
        <is>
          <t>TC-R8-033</t>
        </is>
      </c>
      <c r="B34" s="9" t="inlineStr">
        <is>
          <t>TS-003</t>
        </is>
      </c>
      <c r="C34" s="10" t="inlineStr">
        <is>
          <t>Session</t>
        </is>
      </c>
      <c r="D34" s="10" t="inlineStr">
        <is>
          <t>Verify logout ends the session</t>
        </is>
      </c>
      <c r="E34" s="10" t="inlineStr">
        <is>
          <t>Any page</t>
        </is>
      </c>
      <c r="F34" s="9" t="inlineStr">
        <is>
          <t>S2</t>
        </is>
      </c>
      <c r="G34" s="17" t="inlineStr">
        <is>
          <t>High</t>
        </is>
      </c>
      <c r="H34" s="9" t="inlineStr">
        <is>
          <t>Security</t>
        </is>
      </c>
      <c r="I34" s="10" t="inlineStr">
        <is>
          <t>FS R8 sec. 3 step 9; NFR Security</t>
        </is>
      </c>
      <c r="J34" s="10" t="inlineStr"/>
      <c r="K34" s="10" t="inlineStr"/>
      <c r="L34" s="10" t="inlineStr">
        <is>
          <t>FA logged in</t>
        </is>
      </c>
      <c r="M34" s="10" t="inlineStr">
        <is>
          <t>1. Click [Log out]
2. Press the browser Back button
3. Re-use the old token on the EA API</t>
        </is>
      </c>
      <c r="N34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4" s="10" t="inlineStr">
        <is>
          <t>Landing page is shown; Back does not show child data
API call with the old token returns 401</t>
        </is>
      </c>
      <c r="P34" s="9" t="inlineStr">
        <is>
          <t>Automation Candidate</t>
        </is>
      </c>
      <c r="Q34" s="10" t="inlineStr">
        <is>
          <t>Planned</t>
        </is>
      </c>
    </row>
    <row r="35" ht="55" customHeight="1">
      <c r="A35" s="7" t="inlineStr">
        <is>
          <t>TC-R8-034</t>
        </is>
      </c>
      <c r="B35" s="7" t="inlineStr">
        <is>
          <t>TS-004</t>
        </is>
      </c>
      <c r="C35" s="8" t="inlineStr">
        <is>
          <t>Home</t>
        </is>
      </c>
      <c r="D35" s="8" t="inlineStr">
        <is>
          <t>Verify each linked child has a card with name, EA status, school and class</t>
        </is>
      </c>
      <c r="E35" s="8" t="inlineStr">
        <is>
          <t>Home</t>
        </is>
      </c>
      <c r="F35" s="7" t="inlineStr">
        <is>
          <t>S2</t>
        </is>
      </c>
      <c r="G35" s="17" t="inlineStr">
        <is>
          <t>High</t>
        </is>
      </c>
      <c r="H35" s="7" t="inlineStr">
        <is>
          <t>UI</t>
        </is>
      </c>
      <c r="I35" s="8" t="inlineStr">
        <is>
          <t>FS R8 6.1; R8-AC01</t>
        </is>
      </c>
      <c r="J35" s="8" t="inlineStr"/>
      <c r="K35" s="8" t="inlineStr"/>
      <c r="L35" s="8" t="inlineStr">
        <is>
          <t>FA logged in</t>
        </is>
      </c>
      <c r="M35" s="8" t="inlineStr">
        <is>
          <t>1. Open Home
2. Check the header of each card</t>
        </is>
      </c>
      <c r="N35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5" s="8" t="inlineStr">
        <is>
          <t>One card per child; each shows student name, EA status label, school and class</t>
        </is>
      </c>
      <c r="P35" s="15" t="inlineStr">
        <is>
          <t>Automated</t>
        </is>
      </c>
      <c r="Q35" s="8" t="inlineStr">
        <is>
          <t>tests/fs08/test_ts02_accounts_and_transactions.py::test_tc_r8_034_and_051_view_active_child_card_and_ea_balance</t>
        </is>
      </c>
    </row>
    <row r="36" ht="55" customHeight="1">
      <c r="A36" s="9" t="inlineStr">
        <is>
          <t>TC-R8-035</t>
        </is>
      </c>
      <c r="B36" s="9" t="inlineStr">
        <is>
          <t>TS-004</t>
        </is>
      </c>
      <c r="C36" s="10" t="inlineStr">
        <is>
          <t>Home</t>
        </is>
      </c>
      <c r="D36" s="10" t="inlineStr">
        <is>
          <t>Verify the EA balance is shown on the card for an Active account</t>
        </is>
      </c>
      <c r="E36" s="10" t="inlineStr">
        <is>
          <t>Home</t>
        </is>
      </c>
      <c r="F36" s="9" t="inlineStr">
        <is>
          <t>S2</t>
        </is>
      </c>
      <c r="G36" s="17" t="inlineStr">
        <is>
          <t>High</t>
        </is>
      </c>
      <c r="H36" s="9" t="inlineStr">
        <is>
          <t>Functional</t>
        </is>
      </c>
      <c r="I36" s="10" t="inlineStr">
        <is>
          <t>FS R8 6.1 (EA balance)</t>
        </is>
      </c>
      <c r="J36" s="10" t="inlineStr"/>
      <c r="K36" s="10" t="inlineStr"/>
      <c r="L36" s="10" t="inlineStr">
        <is>
          <t>A1 EA Active, balance S$250.00</t>
        </is>
      </c>
      <c r="M36" s="10" t="inlineStr">
        <is>
          <t>1. Open Home
2. Check A1's card</t>
        </is>
      </c>
      <c r="N36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36" s="10" t="inlineStr">
        <is>
          <t>A1 card shows status Active and EA balance S$250.00</t>
        </is>
      </c>
      <c r="P36" s="9" t="inlineStr">
        <is>
          <t>Automation Candidate</t>
        </is>
      </c>
      <c r="Q36" s="10" t="inlineStr">
        <is>
          <t>Planned</t>
        </is>
      </c>
    </row>
    <row r="37" ht="55" customHeight="1">
      <c r="A37" s="7" t="inlineStr">
        <is>
          <t>TC-R8-036</t>
        </is>
      </c>
      <c r="B37" s="7" t="inlineStr">
        <is>
          <t>TS-004</t>
        </is>
      </c>
      <c r="C37" s="8" t="inlineStr">
        <is>
          <t>Home</t>
        </is>
      </c>
      <c r="D37" s="8" t="inlineStr">
        <is>
          <t>Verify the EA balance is shown on the card for a Due for closure account</t>
        </is>
      </c>
      <c r="E37" s="8" t="inlineStr">
        <is>
          <t>Home</t>
        </is>
      </c>
      <c r="F37" s="7" t="inlineStr">
        <is>
          <t>S3</t>
        </is>
      </c>
      <c r="G37" s="14" t="inlineStr">
        <is>
          <t>Medium</t>
        </is>
      </c>
      <c r="H37" s="7" t="inlineStr">
        <is>
          <t>Functional</t>
        </is>
      </c>
      <c r="I37" s="8" t="inlineStr">
        <is>
          <t>FS R8 6.1; 6.2</t>
        </is>
      </c>
      <c r="J37" s="8" t="inlineStr">
        <is>
          <t>ASM-03: Per FS R1 v1.2 F02, opening the EA of a child aged 16+ triggers the closure eligibility check. Balance = 0 -&gt; account becomes Closed; 'Due for closure' is expected only when balance &gt; 0 and CPF transfer is deferred. Confirm with BA.</t>
        </is>
      </c>
      <c r="K37" s="8" t="inlineStr"/>
      <c r="L37" s="8" t="inlineStr">
        <is>
          <t>Child B1 is 16+, EA not closed, balance S$40.00</t>
        </is>
      </c>
      <c r="M37" s="8" t="inlineStr">
        <is>
          <t>1. Log in as PB
2. Check B1's card</t>
        </is>
      </c>
      <c r="N37" s="8" t="inlineStr">
        <is>
          <t>Parent PB: S7000003C
Child B1: age 16, EA balance S$40.00</t>
        </is>
      </c>
      <c r="O37" s="8" t="inlineStr">
        <is>
          <t>B1 card shows status Due for closure and EA balance S$40.00</t>
        </is>
      </c>
      <c r="P37" s="7" t="inlineStr">
        <is>
          <t>Automation Candidate</t>
        </is>
      </c>
      <c r="Q37" s="8" t="inlineStr">
        <is>
          <t>Planned</t>
        </is>
      </c>
    </row>
    <row r="38" ht="55" customHeight="1">
      <c r="A38" s="9" t="inlineStr">
        <is>
          <t>TC-R8-037</t>
        </is>
      </c>
      <c r="B38" s="9" t="inlineStr">
        <is>
          <t>TS-004</t>
        </is>
      </c>
      <c r="C38" s="10" t="inlineStr">
        <is>
          <t>Home</t>
        </is>
      </c>
      <c r="D38" s="10" t="inlineStr">
        <is>
          <t>Verify the balance is replaced by a status sentence for children without a usable EA</t>
        </is>
      </c>
      <c r="E38" s="10" t="inlineStr">
        <is>
          <t>Home</t>
        </is>
      </c>
      <c r="F38" s="9" t="inlineStr">
        <is>
          <t>S2</t>
        </is>
      </c>
      <c r="G38" s="17" t="inlineStr">
        <is>
          <t>High</t>
        </is>
      </c>
      <c r="H38" s="9" t="inlineStr">
        <is>
          <t>Functional</t>
        </is>
      </c>
      <c r="I38" s="10" t="inlineStr">
        <is>
          <t>FS R8 6.1; 6.2; R8-AC10</t>
        </is>
      </c>
      <c r="J38" s="10" t="inlineStr">
        <is>
          <t>ASM-07: Card position for Closed / To be created / Not yet 7 / Not eligible children is not defined in FS R8 sec. 6.1. Record the actual order and confirm with BA.</t>
        </is>
      </c>
      <c r="K38" s="10" t="inlineStr"/>
      <c r="L38" s="10" t="inlineStr">
        <is>
          <t>Parent PC has children: C1 Closed EA, C2 citizen age 7 without EA, C3 citizen age 5, C4 non-citizen age 10</t>
        </is>
      </c>
      <c r="M38" s="10" t="inlineStr">
        <is>
          <t>1. Log in as PC
2. Check each card</t>
        </is>
      </c>
      <c r="N38" s="10" t="inlineStr">
        <is>
          <t>Parent PC: S7000004D
C1 Closed; C2 To be created; C3 Not yet 7 (DOB 20/05/2021); C4 PR</t>
        </is>
      </c>
      <c r="O38" s="10" t="inlineStr">
        <is>
          <t>No balance is shown on any card
C2: 'Education Account not active yet.'
C3: sentence with opening date 20/05/2028
C4: 'Education Accounts are for Singapore Citizens'
C1: Closed status, no balance</t>
        </is>
      </c>
      <c r="P38" s="15" t="inlineStr">
        <is>
          <t>Automated</t>
        </is>
      </c>
      <c r="Q38" s="10" t="inlineStr">
        <is>
          <t>tests/fs08/test_ts02_accounts_and_transactions.py::test_tc_r8_037_child_cards_three_tier_sorting_order</t>
        </is>
      </c>
    </row>
    <row r="39" ht="55" customHeight="1">
      <c r="A39" s="7" t="inlineStr">
        <is>
          <t>TC-R8-038</t>
        </is>
      </c>
      <c r="B39" s="7" t="inlineStr">
        <is>
          <t>TS-004</t>
        </is>
      </c>
      <c r="C39" s="8" t="inlineStr">
        <is>
          <t>Home</t>
        </is>
      </c>
      <c r="D39" s="8" t="inlineStr">
        <is>
          <t>Verify 'Need to pay' shows total outstanding fees after subsidy</t>
        </is>
      </c>
      <c r="E39" s="8" t="inlineStr">
        <is>
          <t>Home</t>
        </is>
      </c>
      <c r="F39" s="7" t="inlineStr">
        <is>
          <t>S2</t>
        </is>
      </c>
      <c r="G39" s="17" t="inlineStr">
        <is>
          <t>High</t>
        </is>
      </c>
      <c r="H39" s="7" t="inlineStr">
        <is>
          <t>Functional</t>
        </is>
      </c>
      <c r="I39" s="8" t="inlineStr">
        <is>
          <t>FS R8 6.1 (Need to pay)</t>
        </is>
      </c>
      <c r="J39" s="8" t="inlineStr">
        <is>
          <t>ASM-22: FAS (R4/R10) is not delivered in Sprint 1; FAS status is seeded as mock data.&lt;br&gt;&lt;br&gt;ASM-23: Fee/charge data (R3/R9) is seeded as POSTED student charges with due dates.</t>
        </is>
      </c>
      <c r="K39" s="8" t="inlineStr"/>
      <c r="L39" s="8" t="inlineStr">
        <is>
          <t>A1 has POSTED charges S$120.00 and S$80.00; FAS subsidy reduces S$80.00 to S$40.00</t>
        </is>
      </c>
      <c r="M39" s="8" t="inlineStr">
        <is>
          <t>1. Log in as FA
2. Check 'Need to pay' on A1's card</t>
        </is>
      </c>
      <c r="N39" s="8" t="inlineStr">
        <is>
          <t>A1 charges: Misc fee S$120.00; Textbooks S$80.00 (subsidy -S$40.00)</t>
        </is>
      </c>
      <c r="O39" s="8" t="inlineStr">
        <is>
          <t>Need to pay' shows S$160.00</t>
        </is>
      </c>
      <c r="P39" s="7" t="inlineStr">
        <is>
          <t>Automation Candidate</t>
        </is>
      </c>
      <c r="Q39" s="8" t="inlineStr">
        <is>
          <t>Planned</t>
        </is>
      </c>
    </row>
    <row r="40" ht="55" customHeight="1">
      <c r="A40" s="9" t="inlineStr">
        <is>
          <t>TC-R8-039</t>
        </is>
      </c>
      <c r="B40" s="9" t="inlineStr">
        <is>
          <t>TS-004</t>
        </is>
      </c>
      <c r="C40" s="10" t="inlineStr">
        <is>
          <t>Home</t>
        </is>
      </c>
      <c r="D40" s="10" t="inlineStr">
        <is>
          <t>Verify the FAS label appears only for a Granted FAS</t>
        </is>
      </c>
      <c r="E40" s="10" t="inlineStr">
        <is>
          <t>Home</t>
        </is>
      </c>
      <c r="F40" s="9" t="inlineStr">
        <is>
          <t>S3</t>
        </is>
      </c>
      <c r="G40" s="14" t="inlineStr">
        <is>
          <t>Medium</t>
        </is>
      </c>
      <c r="H40" s="9" t="inlineStr">
        <is>
          <t>Functional</t>
        </is>
      </c>
      <c r="I40" s="10" t="inlineStr">
        <is>
          <t>FS R8 6.1 (FAS label)</t>
        </is>
      </c>
      <c r="J40" s="10" t="inlineStr">
        <is>
          <t>ASM-22: FAS (R4/R10) is not delivered in Sprint 1; FAS status is seeded as mock data.</t>
        </is>
      </c>
      <c r="K40" s="10" t="inlineStr"/>
      <c r="L40" s="10" t="inlineStr">
        <is>
          <t>A1 has MOEFAS Tier 2 Granted; A2 has an FAS under review</t>
        </is>
      </c>
      <c r="M40" s="10" t="inlineStr">
        <is>
          <t>1. Log in as FA
2. Check the cards of A1 and A2</t>
        </is>
      </c>
      <c r="N40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40" s="10" t="inlineStr">
        <is>
          <t>A1 card shows 'MOEFAS Tier 2'
A2 card shows no FAS label</t>
        </is>
      </c>
      <c r="P40" s="9" t="inlineStr">
        <is>
          <t>Automation Candidate</t>
        </is>
      </c>
      <c r="Q40" s="10" t="inlineStr">
        <is>
          <t>Planned</t>
        </is>
      </c>
    </row>
    <row r="41" ht="55" customHeight="1">
      <c r="A41" s="7" t="inlineStr">
        <is>
          <t>TC-R8-040</t>
        </is>
      </c>
      <c r="B41" s="7" t="inlineStr">
        <is>
          <t>TS-004</t>
        </is>
      </c>
      <c r="C41" s="8" t="inlineStr">
        <is>
          <t>Home</t>
        </is>
      </c>
      <c r="D41" s="8" t="inlineStr">
        <is>
          <t>Verify the card lists at most 3 outstanding fees sorted by nearest due date</t>
        </is>
      </c>
      <c r="E41" s="8" t="inlineStr">
        <is>
          <t>Home</t>
        </is>
      </c>
      <c r="F41" s="7" t="inlineStr">
        <is>
          <t>S3</t>
        </is>
      </c>
      <c r="G41" s="14" t="inlineStr">
        <is>
          <t>Medium</t>
        </is>
      </c>
      <c r="H41" s="7" t="inlineStr">
        <is>
          <t>Functional</t>
        </is>
      </c>
      <c r="I41" s="8" t="inlineStr">
        <is>
          <t>FS R8 6.1 (fee list) - boundary 3</t>
        </is>
      </c>
      <c r="J41" s="8" t="inlineStr">
        <is>
          <t>ASM-06: 'Due soon' threshold is not defined; assumed due date within the next 7 days. Overdue = due date before today; Not due yet = otherwise.&lt;br&gt;&lt;br&gt;ASM-23: Fee/charge data (R3/R9) is seeded as POSTED student charges with due dates.</t>
        </is>
      </c>
      <c r="K41" s="8" t="inlineStr"/>
      <c r="L41" s="8" t="inlineStr">
        <is>
          <t>A1 has 3 outstanding charges with different due dates</t>
        </is>
      </c>
      <c r="M41" s="8" t="inlineStr">
        <is>
          <t>1. Log in as FA
2. Check the fee list on A1's card</t>
        </is>
      </c>
      <c r="N41" s="8" t="inlineStr">
        <is>
          <t>Due 20/10/2026 S$30.00; due 05/11/2026 S$45.00; due 10/10/2026 S$20.00 (overdue)</t>
        </is>
      </c>
      <c r="O41" s="8" t="inlineStr">
        <is>
          <t>3 rows in this order: due 10/10, 20/10, 05/11
Each row shows fee name, status (Overdue / Due soon / Not due yet) and amount
No '+N more' line</t>
        </is>
      </c>
      <c r="P41" s="7" t="inlineStr">
        <is>
          <t>Automation Candidate</t>
        </is>
      </c>
      <c r="Q41" s="8" t="inlineStr">
        <is>
          <t>Planned</t>
        </is>
      </c>
    </row>
    <row r="42" ht="55" customHeight="1">
      <c r="A42" s="9" t="inlineStr">
        <is>
          <t>TC-R8-041</t>
        </is>
      </c>
      <c r="B42" s="9" t="inlineStr">
        <is>
          <t>TS-004</t>
        </is>
      </c>
      <c r="C42" s="10" t="inlineStr">
        <is>
          <t>Home</t>
        </is>
      </c>
      <c r="D42" s="10" t="inlineStr">
        <is>
          <t>Verify '+N more' appears when there are more than 3 outstanding fees</t>
        </is>
      </c>
      <c r="E42" s="10" t="inlineStr">
        <is>
          <t>Home</t>
        </is>
      </c>
      <c r="F42" s="9" t="inlineStr">
        <is>
          <t>S3</t>
        </is>
      </c>
      <c r="G42" s="14" t="inlineStr">
        <is>
          <t>Medium</t>
        </is>
      </c>
      <c r="H42" s="9" t="inlineStr">
        <is>
          <t>Functional</t>
        </is>
      </c>
      <c r="I42" s="10" t="inlineStr">
        <is>
          <t>FS R8 6.1; R8-AC19</t>
        </is>
      </c>
      <c r="J42" s="10" t="inlineStr">
        <is>
          <t>ASM-23: Fee/charge data (R3/R9) is seeded as POSTED student charges with due dates.</t>
        </is>
      </c>
      <c r="K42" s="10" t="inlineStr"/>
      <c r="L42" s="10" t="inlineStr">
        <is>
          <t>A1 has 5 outstanding charges</t>
        </is>
      </c>
      <c r="M42" s="10" t="inlineStr">
        <is>
          <t>1. Log in as FA
2. Check A1's card</t>
        </is>
      </c>
      <c r="N42" s="10" t="inlineStr">
        <is>
          <t>5 POSTED charges with due dates 10/10, 20/10, 05/11, 30/11, 15/12/2026</t>
        </is>
      </c>
      <c r="O42" s="10" t="inlineStr">
        <is>
          <t>The 3 nearest-due charges are shown, then '+2 more'</t>
        </is>
      </c>
      <c r="P42" s="9" t="inlineStr">
        <is>
          <t>Automation Candidate</t>
        </is>
      </c>
      <c r="Q42" s="10" t="inlineStr">
        <is>
          <t>Planned</t>
        </is>
      </c>
    </row>
    <row r="43" ht="55" customHeight="1">
      <c r="A43" s="7" t="inlineStr">
        <is>
          <t>TC-R8-042</t>
        </is>
      </c>
      <c r="B43" s="7" t="inlineStr">
        <is>
          <t>TS-004</t>
        </is>
      </c>
      <c r="C43" s="8" t="inlineStr">
        <is>
          <t>Home</t>
        </is>
      </c>
      <c r="D43" s="8" t="inlineStr">
        <is>
          <t>Verify 'Nothing to pay right now.' when there are no outstanding fees</t>
        </is>
      </c>
      <c r="E43" s="8" t="inlineStr">
        <is>
          <t>Home</t>
        </is>
      </c>
      <c r="F43" s="7" t="inlineStr">
        <is>
          <t>S4 (lowest)</t>
        </is>
      </c>
      <c r="G43" s="7" t="inlineStr">
        <is>
          <t>Low</t>
        </is>
      </c>
      <c r="H43" s="7" t="inlineStr">
        <is>
          <t>UI</t>
        </is>
      </c>
      <c r="I43" s="8" t="inlineStr">
        <is>
          <t>FS R8 6.1 (fee list)</t>
        </is>
      </c>
      <c r="J43" s="8" t="inlineStr"/>
      <c r="K43" s="8" t="inlineStr"/>
      <c r="L43" s="8" t="inlineStr">
        <is>
          <t>A2 has no outstanding charges</t>
        </is>
      </c>
      <c r="M43" s="8" t="inlineStr">
        <is>
          <t>1. Log in as FA
2. Check A2's card</t>
        </is>
      </c>
      <c r="N43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43" s="8" t="inlineStr">
        <is>
          <t>A2 card shows 'Nothing to pay right now.' and 'Need to pay' is S$0.00</t>
        </is>
      </c>
      <c r="P43" s="7" t="inlineStr">
        <is>
          <t>Automation Candidate</t>
        </is>
      </c>
      <c r="Q43" s="8" t="inlineStr">
        <is>
          <t>Planned</t>
        </is>
      </c>
    </row>
    <row r="44" ht="55" customHeight="1">
      <c r="A44" s="9" t="inlineStr">
        <is>
          <t>TC-R8-043</t>
        </is>
      </c>
      <c r="B44" s="9" t="inlineStr">
        <is>
          <t>TS-004</t>
        </is>
      </c>
      <c r="C44" s="10" t="inlineStr">
        <is>
          <t>Home</t>
        </is>
      </c>
      <c r="D44" s="10" t="inlineStr">
        <is>
          <t>Verify fee status labels Overdue, Due soon and Not due yet</t>
        </is>
      </c>
      <c r="E44" s="10" t="inlineStr">
        <is>
          <t>Home</t>
        </is>
      </c>
      <c r="F44" s="9" t="inlineStr">
        <is>
          <t>S3</t>
        </is>
      </c>
      <c r="G44" s="14" t="inlineStr">
        <is>
          <t>Medium</t>
        </is>
      </c>
      <c r="H44" s="9" t="inlineStr">
        <is>
          <t>Functional</t>
        </is>
      </c>
      <c r="I44" s="10" t="inlineStr">
        <is>
          <t>FS R8 6.1 (fee status)</t>
        </is>
      </c>
      <c r="J44" s="10" t="inlineStr">
        <is>
          <t>ASM-06: 'Due soon' threshold is not defined; assumed due date within the next 7 days. Overdue = due date before today; Not due yet = otherwise.&lt;br&gt;&lt;br&gt;ASM-23: Fee/charge data (R3/R9) is seeded as POSTED student charges with due dates.</t>
        </is>
      </c>
      <c r="K44" s="10" t="inlineStr"/>
      <c r="L44" s="10" t="inlineStr">
        <is>
          <t>A1 has charges due yesterday, in 3 days and in 30 days</t>
        </is>
      </c>
      <c r="M44" s="10" t="inlineStr">
        <is>
          <t>1. Log in as FA
2. Check the status label of each charge on A1's card</t>
        </is>
      </c>
      <c r="N44" s="10" t="inlineStr">
        <is>
          <t>Today = execution date</t>
        </is>
      </c>
      <c r="O44" s="10" t="inlineStr">
        <is>
          <t>Due yesterday: Overdue
Due in 3 days: Due soon
Due in 30 days: Not due yet</t>
        </is>
      </c>
      <c r="P44" s="15" t="inlineStr">
        <is>
          <t>Automated</t>
        </is>
      </c>
      <c r="Q44" s="10" t="inlineStr">
        <is>
          <t>tests/fs08/test_ts02_accounts_and_transactions.py::test_tc_r8_043_fee_preview_max_three_items_and_more_link</t>
        </is>
      </c>
    </row>
    <row r="45" ht="55" customHeight="1">
      <c r="A45" s="7" t="inlineStr">
        <is>
          <t>TC-R8-044</t>
        </is>
      </c>
      <c r="B45" s="7" t="inlineStr">
        <is>
          <t>TS-004</t>
        </is>
      </c>
      <c r="C45" s="8" t="inlineStr">
        <is>
          <t>Home</t>
        </is>
      </c>
      <c r="D45" s="8" t="inlineStr">
        <is>
          <t>Verify clicking a card opens that child's Education Account</t>
        </is>
      </c>
      <c r="E45" s="8" t="inlineStr">
        <is>
          <t>Home &gt; Education Account</t>
        </is>
      </c>
      <c r="F45" s="7" t="inlineStr">
        <is>
          <t>S2</t>
        </is>
      </c>
      <c r="G45" s="17" t="inlineStr">
        <is>
          <t>High</t>
        </is>
      </c>
      <c r="H45" s="7" t="inlineStr">
        <is>
          <t>Functional</t>
        </is>
      </c>
      <c r="I45" s="8" t="inlineStr">
        <is>
          <t>FS R8 6.1</t>
        </is>
      </c>
      <c r="J45" s="8" t="inlineStr"/>
      <c r="K45" s="8" t="inlineStr"/>
      <c r="L45" s="8" t="inlineStr">
        <is>
          <t>FA logged in</t>
        </is>
      </c>
      <c r="M45" s="8" t="inlineStr">
        <is>
          <t>1. Click A2's card</t>
        </is>
      </c>
      <c r="N45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45" s="8" t="inlineStr">
        <is>
          <t>Education Account screen opens for A2 (name, EA code and balance belong to A2)</t>
        </is>
      </c>
      <c r="P45" s="7" t="inlineStr">
        <is>
          <t>Automation Candidate</t>
        </is>
      </c>
      <c r="Q45" s="8" t="inlineStr">
        <is>
          <t>Planned</t>
        </is>
      </c>
    </row>
    <row r="46" ht="55" customHeight="1">
      <c r="A46" s="9" t="inlineStr">
        <is>
          <t>TC-R8-045</t>
        </is>
      </c>
      <c r="B46" s="9" t="inlineStr">
        <is>
          <t>TS-004</t>
        </is>
      </c>
      <c r="C46" s="10" t="inlineStr">
        <is>
          <t>Home</t>
        </is>
      </c>
      <c r="D46" s="10" t="inlineStr">
        <is>
          <t>Verify [All fees] opens the fee list of that child</t>
        </is>
      </c>
      <c r="E46" s="10" t="inlineStr">
        <is>
          <t>Home &gt; Fees</t>
        </is>
      </c>
      <c r="F46" s="9" t="inlineStr">
        <is>
          <t>S3</t>
        </is>
      </c>
      <c r="G46" s="14" t="inlineStr">
        <is>
          <t>Medium</t>
        </is>
      </c>
      <c r="H46" s="9" t="inlineStr">
        <is>
          <t>Functional</t>
        </is>
      </c>
      <c r="I46" s="10" t="inlineStr">
        <is>
          <t>FS R8 6.1 (All fees); FS-09</t>
        </is>
      </c>
      <c r="J46" s="10" t="inlineStr">
        <is>
          <t>ASM-23: Fee/charge data (R3/R9) is seeded as POSTED student charges with due dates.</t>
        </is>
      </c>
      <c r="K46" s="10" t="inlineStr"/>
      <c r="L46" s="10" t="inlineStr">
        <is>
          <t>A1 has outstanding charges</t>
        </is>
      </c>
      <c r="M46" s="10" t="inlineStr">
        <is>
          <t>1. Click [All fees] on A1's card</t>
        </is>
      </c>
      <c r="N46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46" s="10" t="inlineStr">
        <is>
          <t>Fees page (FS-09) opens filtered to A1</t>
        </is>
      </c>
      <c r="P46" s="9" t="inlineStr">
        <is>
          <t>Automation Candidate</t>
        </is>
      </c>
      <c r="Q46" s="10" t="inlineStr">
        <is>
          <t>Planned</t>
        </is>
      </c>
    </row>
    <row r="47" ht="55" customHeight="1">
      <c r="A47" s="7" t="inlineStr">
        <is>
          <t>TC-R8-046</t>
        </is>
      </c>
      <c r="B47" s="7" t="inlineStr">
        <is>
          <t>TS-004</t>
        </is>
      </c>
      <c r="C47" s="8" t="inlineStr">
        <is>
          <t>Home</t>
        </is>
      </c>
      <c r="D47" s="8" t="inlineStr">
        <is>
          <t>Verify the [Apply for FAS] button is shown at the top of Home</t>
        </is>
      </c>
      <c r="E47" s="8" t="inlineStr">
        <is>
          <t>Home</t>
        </is>
      </c>
      <c r="F47" s="7" t="inlineStr">
        <is>
          <t>S4 (lowest)</t>
        </is>
      </c>
      <c r="G47" s="7" t="inlineStr">
        <is>
          <t>Low</t>
        </is>
      </c>
      <c r="H47" s="7" t="inlineStr">
        <is>
          <t>UI</t>
        </is>
      </c>
      <c r="I47" s="8" t="inlineStr">
        <is>
          <t>FS R8 6.1</t>
        </is>
      </c>
      <c r="J47" s="8" t="inlineStr">
        <is>
          <t>ASM-22: FAS (R4/R10) is not delivered in Sprint 1; FAS status is seeded as mock data.</t>
        </is>
      </c>
      <c r="K47" s="8" t="inlineStr"/>
      <c r="L47" s="8" t="inlineStr">
        <is>
          <t>FA logged in</t>
        </is>
      </c>
      <c r="M47" s="8" t="inlineStr">
        <is>
          <t>1. Open Home
2. Click [Apply for FAS]</t>
        </is>
      </c>
      <c r="N47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47" s="8" t="inlineStr">
        <is>
          <t>Button is shown above the cards and opens the FAS application entry (FS-10)</t>
        </is>
      </c>
      <c r="P47" s="7" t="inlineStr">
        <is>
          <t>Automation Candidate</t>
        </is>
      </c>
      <c r="Q47" s="8" t="inlineStr">
        <is>
          <t>Planned</t>
        </is>
      </c>
    </row>
    <row r="48" ht="55" customHeight="1">
      <c r="A48" s="9" t="inlineStr">
        <is>
          <t>TC-R8-047</t>
        </is>
      </c>
      <c r="B48" s="9" t="inlineStr">
        <is>
          <t>TS-004</t>
        </is>
      </c>
      <c r="C48" s="10" t="inlineStr">
        <is>
          <t>Home</t>
        </is>
      </c>
      <c r="D48" s="10" t="inlineStr">
        <is>
          <t>Verify Active children are shown before children aged 16+</t>
        </is>
      </c>
      <c r="E48" s="10" t="inlineStr">
        <is>
          <t>Home</t>
        </is>
      </c>
      <c r="F48" s="9" t="inlineStr">
        <is>
          <t>S3</t>
        </is>
      </c>
      <c r="G48" s="14" t="inlineStr">
        <is>
          <t>Medium</t>
        </is>
      </c>
      <c r="H48" s="9" t="inlineStr">
        <is>
          <t>Functional</t>
        </is>
      </c>
      <c r="I48" s="10" t="inlineStr">
        <is>
          <t>FS R8 6.1 order rules 1-2; R8-AC12</t>
        </is>
      </c>
      <c r="J48" s="10" t="inlineStr"/>
      <c r="K48" s="10" t="inlineStr"/>
      <c r="L48" s="10" t="inlineStr">
        <is>
          <t>Parent PB: B1 age 16 (Due for closure), B2 age 14 Active, B3 age 9 Active</t>
        </is>
      </c>
      <c r="M48" s="10" t="inlineStr">
        <is>
          <t>1. Log in as PB
2. Read the card order</t>
        </is>
      </c>
      <c r="N48" s="10" t="inlineStr">
        <is>
          <t>Parent PB: S7000003C</t>
        </is>
      </c>
      <c r="O48" s="10" t="inlineStr">
        <is>
          <t>Order: B2 (14), B3 (9), B1 (16) - the 16+ child is last; Active children by age descending</t>
        </is>
      </c>
      <c r="P48" s="9" t="inlineStr">
        <is>
          <t>Automation Candidate</t>
        </is>
      </c>
      <c r="Q48" s="10" t="inlineStr">
        <is>
          <t>Planned</t>
        </is>
      </c>
    </row>
    <row r="49" ht="55" customHeight="1">
      <c r="A49" s="7" t="inlineStr">
        <is>
          <t>TC-R8-048</t>
        </is>
      </c>
      <c r="B49" s="7" t="inlineStr">
        <is>
          <t>TS-004</t>
        </is>
      </c>
      <c r="C49" s="8" t="inlineStr">
        <is>
          <t>Home</t>
        </is>
      </c>
      <c r="D49" s="8" t="inlineStr">
        <is>
          <t>Verify children of the same age are ordered by FAS application status</t>
        </is>
      </c>
      <c r="E49" s="8" t="inlineStr">
        <is>
          <t>Home</t>
        </is>
      </c>
      <c r="F49" s="7" t="inlineStr">
        <is>
          <t>S4 (lowest)</t>
        </is>
      </c>
      <c r="G49" s="7" t="inlineStr">
        <is>
          <t>Low</t>
        </is>
      </c>
      <c r="H49" s="7" t="inlineStr">
        <is>
          <t>Functional</t>
        </is>
      </c>
      <c r="I49" s="8" t="inlineStr">
        <is>
          <t>FS R8 6.1 order rule 3</t>
        </is>
      </c>
      <c r="J49" s="8" t="inlineStr">
        <is>
          <t>ASM-22: FAS (R4/R10) is not delivered in Sprint 1; FAS status is seeded as mock data.</t>
        </is>
      </c>
      <c r="K49" s="8" t="inlineStr"/>
      <c r="L49" s="8" t="inlineStr">
        <is>
          <t>Twins T1 and T2 (same DOB, Active); T2 has a pending FAS application, T1 has none</t>
        </is>
      </c>
      <c r="M49" s="8" t="inlineStr">
        <is>
          <t>1. Log in as PD
2. Read the card order</t>
        </is>
      </c>
      <c r="N49" s="8" t="inlineStr">
        <is>
          <t>Parent PD: S7000006F</t>
        </is>
      </c>
      <c r="O49" s="8" t="inlineStr">
        <is>
          <t>T1 (no FAS application) is shown before T2</t>
        </is>
      </c>
      <c r="P49" s="7" t="inlineStr">
        <is>
          <t>Automation Candidate</t>
        </is>
      </c>
      <c r="Q49" s="8" t="inlineStr">
        <is>
          <t>Planned</t>
        </is>
      </c>
    </row>
    <row r="50" ht="55" customHeight="1">
      <c r="A50" s="9" t="inlineStr">
        <is>
          <t>TC-R8-049</t>
        </is>
      </c>
      <c r="B50" s="9" t="inlineStr">
        <is>
          <t>TS-004</t>
        </is>
      </c>
      <c r="C50" s="10" t="inlineStr">
        <is>
          <t>Home</t>
        </is>
      </c>
      <c r="D50" s="10" t="inlineStr">
        <is>
          <t>Verify the child selector on the Education Account screen uses the same order as Home</t>
        </is>
      </c>
      <c r="E50" s="10" t="inlineStr">
        <is>
          <t>Education Account</t>
        </is>
      </c>
      <c r="F50" s="9" t="inlineStr">
        <is>
          <t>S4 (lowest)</t>
        </is>
      </c>
      <c r="G50" s="9" t="inlineStr">
        <is>
          <t>Low</t>
        </is>
      </c>
      <c r="H50" s="9" t="inlineStr">
        <is>
          <t>UI</t>
        </is>
      </c>
      <c r="I50" s="10" t="inlineStr">
        <is>
          <t>FS R8 6.1 (same order for selector)</t>
        </is>
      </c>
      <c r="J50" s="10" t="inlineStr"/>
      <c r="K50" s="10" t="inlineStr"/>
      <c r="L50" s="10" t="inlineStr">
        <is>
          <t>Parent PB with B1 (16), B2 (14), B3 (9)</t>
        </is>
      </c>
      <c r="M50" s="10" t="inlineStr">
        <is>
          <t>1. Log in as PB
2. Open any Education Account
3. Read the order of the child buttons</t>
        </is>
      </c>
      <c r="N50" s="10" t="inlineStr">
        <is>
          <t>Parent PB: S7000003C</t>
        </is>
      </c>
      <c r="O50" s="10" t="inlineStr">
        <is>
          <t>Buttons follow the Home order: All, B2, B3, B1</t>
        </is>
      </c>
      <c r="P50" s="9" t="inlineStr">
        <is>
          <t>Automation Candidate</t>
        </is>
      </c>
      <c r="Q50" s="10" t="inlineStr">
        <is>
          <t>Planned</t>
        </is>
      </c>
    </row>
    <row r="51" ht="55" customHeight="1">
      <c r="A51" s="7" t="inlineStr">
        <is>
          <t>TC-R8-050</t>
        </is>
      </c>
      <c r="B51" s="7" t="inlineStr">
        <is>
          <t>TS-004</t>
        </is>
      </c>
      <c r="C51" s="8" t="inlineStr">
        <is>
          <t>Home</t>
        </is>
      </c>
      <c r="D51" s="8" t="inlineStr">
        <is>
          <t>Verify the card position of children with Closed / To be created / Not yet 7 / Not eligible status</t>
        </is>
      </c>
      <c r="E51" s="8" t="inlineStr">
        <is>
          <t>Home</t>
        </is>
      </c>
      <c r="F51" s="7" t="inlineStr">
        <is>
          <t>S4 (lowest)</t>
        </is>
      </c>
      <c r="G51" s="7" t="inlineStr">
        <is>
          <t>Low</t>
        </is>
      </c>
      <c r="H51" s="7" t="inlineStr">
        <is>
          <t>Functional</t>
        </is>
      </c>
      <c r="I51" s="8" t="inlineStr">
        <is>
          <t>FS R8 6.1</t>
        </is>
      </c>
      <c r="J51" s="8" t="inlineStr">
        <is>
          <t>ASM-07: Card position for Closed / To be created / Not yet 7 / Not eligible children is not defined in FS R8 sec. 6.1. Record the actual order and confirm with BA.</t>
        </is>
      </c>
      <c r="K51" s="8" t="inlineStr"/>
      <c r="L51" s="8" t="inlineStr">
        <is>
          <t>Parent PC with C1 Closed, C2 To be created, C3 Not yet 7, C4 Not eligible, C5 Active</t>
        </is>
      </c>
      <c r="M51" s="8" t="inlineStr">
        <is>
          <t>1. Log in as PC
2. Record the card order</t>
        </is>
      </c>
      <c r="N51" s="8" t="inlineStr">
        <is>
          <t>Parent PC: S7000004D</t>
        </is>
      </c>
      <c r="O51" s="8" t="inlineStr">
        <is>
          <t>Order is consistent and matches the rule confirmed by BA</t>
        </is>
      </c>
      <c r="P51" s="7" t="inlineStr">
        <is>
          <t>Automation Candidate</t>
        </is>
      </c>
      <c r="Q51" s="8" t="inlineStr">
        <is>
          <t>Planned</t>
        </is>
      </c>
    </row>
    <row r="52" ht="55" customHeight="1">
      <c r="A52" s="9" t="inlineStr">
        <is>
          <t>TC-R8-051</t>
        </is>
      </c>
      <c r="B52" s="9" t="inlineStr">
        <is>
          <t>TS-005</t>
        </is>
      </c>
      <c r="C52" s="10" t="inlineStr">
        <is>
          <t>Education Account - Account Info</t>
        </is>
      </c>
      <c r="D52" s="10" t="inlineStr">
        <is>
          <t>Verify the account information block on the Education Account screen</t>
        </is>
      </c>
      <c r="E52" s="10" t="inlineStr">
        <is>
          <t>Education Account</t>
        </is>
      </c>
      <c r="F52" s="9" t="inlineStr">
        <is>
          <t>S2</t>
        </is>
      </c>
      <c r="G52" s="17" t="inlineStr">
        <is>
          <t>High</t>
        </is>
      </c>
      <c r="H52" s="9" t="inlineStr">
        <is>
          <t>Functional</t>
        </is>
      </c>
      <c r="I52" s="10" t="inlineStr">
        <is>
          <t>FR-08.2 main flow (1); R8-AC06</t>
        </is>
      </c>
      <c r="J52" s="10" t="inlineStr"/>
      <c r="K52" s="10" t="inlineStr"/>
      <c r="L52" s="10" t="inlineStr">
        <is>
          <t>FA logged in; A1 EA Active</t>
        </is>
      </c>
      <c r="M52" s="10" t="inlineStr">
        <is>
          <t>1. Open A1's Education Account
2. Check the account information block</t>
        </is>
      </c>
      <c r="N52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52" s="10" t="inlineStr">
        <is>
          <t>Shows EA code, status and reason, opening date, expected closure date, Last updated, student name, school, class, DOB
Dates in DD/MM/YYYY</t>
        </is>
      </c>
      <c r="P52" s="15" t="inlineStr">
        <is>
          <t>Automated</t>
        </is>
      </c>
      <c r="Q52" s="10" t="inlineStr">
        <is>
          <t>tests/fs08/test_ts02_accounts_and_transactions.py::test_tc_r8_034_and_051_view_active_child_card_and_ea_balance</t>
        </is>
      </c>
    </row>
    <row r="53" ht="55" customHeight="1">
      <c r="A53" s="7" t="inlineStr">
        <is>
          <t>TC-R8-052</t>
        </is>
      </c>
      <c r="B53" s="7" t="inlineStr">
        <is>
          <t>TS-005</t>
        </is>
      </c>
      <c r="C53" s="8" t="inlineStr">
        <is>
          <t>Education Account - Account Info</t>
        </is>
      </c>
      <c r="D53" s="8" t="inlineStr">
        <is>
          <t>Verify the EA code format</t>
        </is>
      </c>
      <c r="E53" s="8" t="inlineStr">
        <is>
          <t>Education Account</t>
        </is>
      </c>
      <c r="F53" s="7" t="inlineStr">
        <is>
          <t>S3</t>
        </is>
      </c>
      <c r="G53" s="14" t="inlineStr">
        <is>
          <t>Medium</t>
        </is>
      </c>
      <c r="H53" s="7" t="inlineStr">
        <is>
          <t>Functional</t>
        </is>
      </c>
      <c r="I53" s="8" t="inlineStr">
        <is>
          <t>FR-08.2 rules (EA code)</t>
        </is>
      </c>
      <c r="J53" s="8" t="inlineStr">
        <is>
          <t>ASM-05: 'EA + student number' - the student number is assumed NOT to be the NRIC (privacy). Confirm the number source with BA/Dev.</t>
        </is>
      </c>
      <c r="K53" s="8" t="inlineStr"/>
      <c r="L53" s="8" t="inlineStr">
        <is>
          <t>A1 EA exists</t>
        </is>
      </c>
      <c r="M53" s="8" t="inlineStr">
        <is>
          <t>1. Open A1's Education Account
2. Read the EA code</t>
        </is>
      </c>
      <c r="N53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53" s="8" t="inlineStr">
        <is>
          <t>EA code starts with 'EA' followed by the student number; it does not contain the student's NRIC</t>
        </is>
      </c>
      <c r="P53" s="7" t="inlineStr">
        <is>
          <t>Automation Candidate</t>
        </is>
      </c>
      <c r="Q53" s="8" t="inlineStr">
        <is>
          <t>Planned</t>
        </is>
      </c>
    </row>
    <row r="54" ht="55" customHeight="1">
      <c r="A54" s="9" t="inlineStr">
        <is>
          <t>TC-R8-053</t>
        </is>
      </c>
      <c r="B54" s="9" t="inlineStr">
        <is>
          <t>TS-005</t>
        </is>
      </c>
      <c r="C54" s="10" t="inlineStr">
        <is>
          <t>Education Account - Account Info</t>
        </is>
      </c>
      <c r="D54" s="10" t="inlineStr">
        <is>
          <t>Verify opening date and expected closure date</t>
        </is>
      </c>
      <c r="E54" s="10" t="inlineStr">
        <is>
          <t>Education Account</t>
        </is>
      </c>
      <c r="F54" s="9" t="inlineStr">
        <is>
          <t>S2</t>
        </is>
      </c>
      <c r="G54" s="17" t="inlineStr">
        <is>
          <t>High</t>
        </is>
      </c>
      <c r="H54" s="9" t="inlineStr">
        <is>
          <t>Functional</t>
        </is>
      </c>
      <c r="I54" s="10" t="inlineStr">
        <is>
          <t>FR-08.2 rules (dates)</t>
        </is>
      </c>
      <c r="J54" s="10" t="inlineStr">
        <is>
          <t>ASM-04: FS R8 says opening date = 7th birthday; FS R1 records the actual creation date (initial sync creates accounts for ages 7-&lt;16). Test follows FS R8; confirm with BA.</t>
        </is>
      </c>
      <c r="K54" s="10" t="inlineStr"/>
      <c r="L54" s="10" t="inlineStr">
        <is>
          <t>A1 DOB 12/03/2014, EA Active</t>
        </is>
      </c>
      <c r="M54" s="10" t="inlineStr">
        <is>
          <t>1. Open A1's Education Account
2. Read the opening date and expected closure date</t>
        </is>
      </c>
      <c r="N54" s="10" t="inlineStr">
        <is>
          <t>A1 DOB: 12/03/2014</t>
        </is>
      </c>
      <c r="O54" s="10" t="inlineStr">
        <is>
          <t>Opening date 12/03/2021 (7th birthday); expected closure date 12/03/2030 (16th birthday)</t>
        </is>
      </c>
      <c r="P54" s="9" t="inlineStr">
        <is>
          <t>Automation Candidate</t>
        </is>
      </c>
      <c r="Q54" s="10" t="inlineStr">
        <is>
          <t>Planned</t>
        </is>
      </c>
    </row>
    <row r="55" ht="55" customHeight="1">
      <c r="A55" s="7" t="inlineStr">
        <is>
          <t>TC-R8-054</t>
        </is>
      </c>
      <c r="B55" s="7" t="inlineStr">
        <is>
          <t>TS-005</t>
        </is>
      </c>
      <c r="C55" s="8" t="inlineStr">
        <is>
          <t>Education Account - Account Info</t>
        </is>
      </c>
      <c r="D55" s="8" t="inlineStr">
        <is>
          <t>Verify opening and closure dates for a child born on 29/02</t>
        </is>
      </c>
      <c r="E55" s="8" t="inlineStr">
        <is>
          <t>Education Account</t>
        </is>
      </c>
      <c r="F55" s="7" t="inlineStr">
        <is>
          <t>S3</t>
        </is>
      </c>
      <c r="G55" s="7" t="inlineStr">
        <is>
          <t>Low</t>
        </is>
      </c>
      <c r="H55" s="7" t="inlineStr">
        <is>
          <t>Functional</t>
        </is>
      </c>
      <c r="I55" s="8" t="inlineStr">
        <is>
          <t>FR-08.2 rules; FS R1 leap-year rule (F01-AC14, F02-AC15)</t>
        </is>
      </c>
      <c r="J55" s="8" t="inlineStr">
        <is>
          <t>ASM-04: FS R8 says opening date = 7th birthday; FS R1 records the actual creation date (initial sync creates accounts for ages 7-&lt;16). Test follows FS R8; confirm with BA.&lt;br&gt;&lt;br&gt;ASM-13: Leap-year rule from FS R1 [WA]: a child born 29/02 reaches an age milestone on 28/02 in non-leap years.</t>
        </is>
      </c>
      <c r="K55" s="8" t="inlineStr"/>
      <c r="L55" s="8" t="inlineStr">
        <is>
          <t>Child A4 DOB 29/02/2016, EA Active</t>
        </is>
      </c>
      <c r="M55" s="8" t="inlineStr">
        <is>
          <t>1. Open A4's Education Account
2. Read the dates</t>
        </is>
      </c>
      <c r="N55" s="8" t="inlineStr">
        <is>
          <t>A4 DOB: 29/02/2016</t>
        </is>
      </c>
      <c r="O55" s="8" t="inlineStr">
        <is>
          <t>Opening date 28/02/2023; expected closure date 28/02/2032</t>
        </is>
      </c>
      <c r="P55" s="7" t="inlineStr">
        <is>
          <t>Automation Candidate</t>
        </is>
      </c>
      <c r="Q55" s="8" t="inlineStr">
        <is>
          <t>Planned</t>
        </is>
      </c>
    </row>
    <row r="56" ht="55" customHeight="1">
      <c r="A56" s="9" t="inlineStr">
        <is>
          <t>TC-R8-055</t>
        </is>
      </c>
      <c r="B56" s="9" t="inlineStr">
        <is>
          <t>TS-005</t>
        </is>
      </c>
      <c r="C56" s="10" t="inlineStr">
        <is>
          <t>Education Account - Account Info</t>
        </is>
      </c>
      <c r="D56" s="10" t="inlineStr">
        <is>
          <t>Verify Active status shows the closure date</t>
        </is>
      </c>
      <c r="E56" s="10" t="inlineStr">
        <is>
          <t>Education Account</t>
        </is>
      </c>
      <c r="F56" s="9" t="inlineStr">
        <is>
          <t>S2</t>
        </is>
      </c>
      <c r="G56" s="17" t="inlineStr">
        <is>
          <t>High</t>
        </is>
      </c>
      <c r="H56" s="9" t="inlineStr">
        <is>
          <t>Functional</t>
        </is>
      </c>
      <c r="I56" s="10" t="inlineStr">
        <is>
          <t>FS R8 6.2 (Active)</t>
        </is>
      </c>
      <c r="J56" s="10" t="inlineStr"/>
      <c r="K56" s="10" t="inlineStr"/>
      <c r="L56" s="10" t="inlineStr">
        <is>
          <t>A1 citizen age 12 with EA</t>
        </is>
      </c>
      <c r="M56" s="10" t="inlineStr">
        <is>
          <t>1. Open A1's Education Account</t>
        </is>
      </c>
      <c r="N56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56" s="10" t="inlineStr">
        <is>
          <t>Status Active with the closure date; balance and transactions are shown</t>
        </is>
      </c>
      <c r="P56" s="9" t="inlineStr">
        <is>
          <t>Automation Candidate</t>
        </is>
      </c>
      <c r="Q56" s="10" t="inlineStr">
        <is>
          <t>Planned</t>
        </is>
      </c>
    </row>
    <row r="57" ht="55" customHeight="1">
      <c r="A57" s="7" t="inlineStr">
        <is>
          <t>TC-R8-056</t>
        </is>
      </c>
      <c r="B57" s="7" t="inlineStr">
        <is>
          <t>TS-005</t>
        </is>
      </c>
      <c r="C57" s="8" t="inlineStr">
        <is>
          <t>Education Account - Account Info</t>
        </is>
      </c>
      <c r="D57" s="8" t="inlineStr">
        <is>
          <t>Verify a 16+ child with zero balance is closed when the parent opens the account</t>
        </is>
      </c>
      <c r="E57" s="8" t="inlineStr">
        <is>
          <t>Education Account</t>
        </is>
      </c>
      <c r="F57" s="7" t="inlineStr">
        <is>
          <t>S1 (highest)</t>
        </is>
      </c>
      <c r="G57" s="16" t="inlineStr">
        <is>
          <t>Critical</t>
        </is>
      </c>
      <c r="H57" s="7" t="inlineStr">
        <is>
          <t>Integration</t>
        </is>
      </c>
      <c r="I57" s="8" t="inlineStr">
        <is>
          <t>FR-08.2; FS R1 F02-AC02; R8-AC26</t>
        </is>
      </c>
      <c r="J57" s="8" t="inlineStr">
        <is>
          <t>ASM-03: Per FS R1 v1.2 F02, opening the EA of a child aged 16+ triggers the closure eligibility check. Balance = 0 -&gt; account becomes Closed; 'Due for closure' is expected only when balance &gt; 0 and CPF transfer is deferred. Confirm with BA.</t>
        </is>
      </c>
      <c r="K57" s="8" t="inlineStr"/>
      <c r="L57" s="8" t="inlineStr">
        <is>
          <t>Child B1 reached 16 today; EA still Active in DB; balance S$0.00</t>
        </is>
      </c>
      <c r="M57" s="8" t="inlineStr">
        <is>
          <t>1. Log in as PB
2. Open B1's Education Account
3. Check B1's EA status in the database</t>
        </is>
      </c>
      <c r="N57" s="8" t="inlineStr">
        <is>
          <t>Parent PB: S7000003C
B1 DOB = execution date - 16 years</t>
        </is>
      </c>
      <c r="O57" s="8" t="inlineStr">
        <is>
          <t>Closure check runs before the data is shown
Status shown and stored is Closed with an actual closure date; no balance block; transactions still viewable</t>
        </is>
      </c>
      <c r="P57" s="7" t="inlineStr">
        <is>
          <t>Automation Candidate</t>
        </is>
      </c>
      <c r="Q57" s="8" t="inlineStr">
        <is>
          <t>Planned</t>
        </is>
      </c>
    </row>
    <row r="58" ht="55" customHeight="1">
      <c r="A58" s="9" t="inlineStr">
        <is>
          <t>TC-R8-057</t>
        </is>
      </c>
      <c r="B58" s="9" t="inlineStr">
        <is>
          <t>TS-005</t>
        </is>
      </c>
      <c r="C58" s="10" t="inlineStr">
        <is>
          <t>Education Account - Account Info</t>
        </is>
      </c>
      <c r="D58" s="10" t="inlineStr">
        <is>
          <t>Verify Due for closure for a 16+ child whose account has a remaining balance</t>
        </is>
      </c>
      <c r="E58" s="10" t="inlineStr">
        <is>
          <t>Education Account</t>
        </is>
      </c>
      <c r="F58" s="9" t="inlineStr">
        <is>
          <t>S2</t>
        </is>
      </c>
      <c r="G58" s="17" t="inlineStr">
        <is>
          <t>High</t>
        </is>
      </c>
      <c r="H58" s="9" t="inlineStr">
        <is>
          <t>Functional</t>
        </is>
      </c>
      <c r="I58" s="10" t="inlineStr">
        <is>
          <t>FS R8 6.2 (Due for closure); R8-AC26; FS R1 F02-AC10</t>
        </is>
      </c>
      <c r="J58" s="10" t="inlineStr">
        <is>
          <t>ASM-03: Per FS R1 v1.2 F02, opening the EA of a child aged 16+ triggers the closure eligibility check. Balance = 0 -&gt; account becomes Closed; 'Due for closure' is expected only when balance &gt; 0 and CPF transfer is deferred. Confirm with BA.</t>
        </is>
      </c>
      <c r="K58" s="10" t="inlineStr"/>
      <c r="L58" s="10" t="inlineStr">
        <is>
          <t>B1 reached 16; balance S$40.00; CPF transfer deferred</t>
        </is>
      </c>
      <c r="M58" s="10" t="inlineStr">
        <is>
          <t>1. Log in as PB
2. Open B1's Education Account</t>
        </is>
      </c>
      <c r="N58" s="10" t="inlineStr">
        <is>
          <t>B1 DOB = execution date - 16 years; balance S$40.00</t>
        </is>
      </c>
      <c r="O58" s="10" t="inlineStr">
        <is>
          <t>Status Due for closure; shows the 16th birthday and closure date; balance and transactions shown; no pay or FAS actions</t>
        </is>
      </c>
      <c r="P58" s="9" t="inlineStr">
        <is>
          <t>Automation Candidate</t>
        </is>
      </c>
      <c r="Q58" s="10" t="inlineStr">
        <is>
          <t>Planned</t>
        </is>
      </c>
    </row>
    <row r="59" ht="55" customHeight="1">
      <c r="A59" s="7" t="inlineStr">
        <is>
          <t>TC-R8-058</t>
        </is>
      </c>
      <c r="B59" s="7" t="inlineStr">
        <is>
          <t>TS-005</t>
        </is>
      </c>
      <c r="C59" s="8" t="inlineStr">
        <is>
          <t>Education Account - Account Info</t>
        </is>
      </c>
      <c r="D59" s="8" t="inlineStr">
        <is>
          <t>Verify a Closed account shows transactions only</t>
        </is>
      </c>
      <c r="E59" s="8" t="inlineStr">
        <is>
          <t>Education Account</t>
        </is>
      </c>
      <c r="F59" s="7" t="inlineStr">
        <is>
          <t>S2</t>
        </is>
      </c>
      <c r="G59" s="17" t="inlineStr">
        <is>
          <t>High</t>
        </is>
      </c>
      <c r="H59" s="7" t="inlineStr">
        <is>
          <t>Functional</t>
        </is>
      </c>
      <c r="I59" s="8" t="inlineStr">
        <is>
          <t>FS R8 6.2 (Closed); FS R1 F02-AC07</t>
        </is>
      </c>
      <c r="J59" s="8" t="inlineStr"/>
      <c r="K59" s="8" t="inlineStr"/>
      <c r="L59" s="8" t="inlineStr">
        <is>
          <t>C1's EA is Closed with transaction history</t>
        </is>
      </c>
      <c r="M59" s="8" t="inlineStr">
        <is>
          <t>1. Log in as PC
2. Open C1's Education Account</t>
        </is>
      </c>
      <c r="N59" s="8" t="inlineStr">
        <is>
          <t>Parent PC: S7000004D; C1 Closed</t>
        </is>
      </c>
      <c r="O59" s="8" t="inlineStr">
        <is>
          <t>Status Closed; no balance block; transaction history is shown read-only</t>
        </is>
      </c>
      <c r="P59" s="7" t="inlineStr">
        <is>
          <t>Automation Candidate</t>
        </is>
      </c>
      <c r="Q59" s="8" t="inlineStr">
        <is>
          <t>Planned</t>
        </is>
      </c>
    </row>
    <row r="60" ht="55" customHeight="1">
      <c r="A60" s="9" t="inlineStr">
        <is>
          <t>TC-R8-059</t>
        </is>
      </c>
      <c r="B60" s="9" t="inlineStr">
        <is>
          <t>TS-005</t>
        </is>
      </c>
      <c r="C60" s="10" t="inlineStr">
        <is>
          <t>Education Account - Account Info</t>
        </is>
      </c>
      <c r="D60" s="10" t="inlineStr">
        <is>
          <t>Verify 'To be created' for a citizen aged 7+ without an EA</t>
        </is>
      </c>
      <c r="E60" s="10" t="inlineStr">
        <is>
          <t>Education Account</t>
        </is>
      </c>
      <c r="F60" s="9" t="inlineStr">
        <is>
          <t>S3</t>
        </is>
      </c>
      <c r="G60" s="14" t="inlineStr">
        <is>
          <t>Medium</t>
        </is>
      </c>
      <c r="H60" s="9" t="inlineStr">
        <is>
          <t>Functional</t>
        </is>
      </c>
      <c r="I60" s="10" t="inlineStr">
        <is>
          <t>FS R8 6.2 (To be created)</t>
        </is>
      </c>
      <c r="J60" s="10" t="inlineStr">
        <is>
          <t>ASM-14: MSG-0804 and the FS R8 table 6.2 sentences overlap; assumed the table 6.2 sentence is shown on the EA screen.</t>
        </is>
      </c>
      <c r="K60" s="10" t="inlineStr"/>
      <c r="L60" s="10" t="inlineStr">
        <is>
          <t>C2 citizen aged 7+ with no EA record</t>
        </is>
      </c>
      <c r="M60" s="10" t="inlineStr">
        <is>
          <t>1. Log in as PC
2. Open C2's Education Account</t>
        </is>
      </c>
      <c r="N60" s="10" t="inlineStr">
        <is>
          <t>C2 age 7</t>
        </is>
      </c>
      <c r="O60" s="10" t="inlineStr">
        <is>
          <t>Sentence 'Education Account not active yet.' is shown; no balance or transactions</t>
        </is>
      </c>
      <c r="P60" s="9" t="inlineStr">
        <is>
          <t>Automation Candidate</t>
        </is>
      </c>
      <c r="Q60" s="10" t="inlineStr">
        <is>
          <t>Planned</t>
        </is>
      </c>
    </row>
    <row r="61" ht="55" customHeight="1">
      <c r="A61" s="7" t="inlineStr">
        <is>
          <t>TC-R8-060</t>
        </is>
      </c>
      <c r="B61" s="7" t="inlineStr">
        <is>
          <t>TS-005</t>
        </is>
      </c>
      <c r="C61" s="8" t="inlineStr">
        <is>
          <t>Education Account - Account Info</t>
        </is>
      </c>
      <c r="D61" s="8" t="inlineStr">
        <is>
          <t>Verify 'Not yet 7' shows the date the EA will open</t>
        </is>
      </c>
      <c r="E61" s="8" t="inlineStr">
        <is>
          <t>Education Account</t>
        </is>
      </c>
      <c r="F61" s="7" t="inlineStr">
        <is>
          <t>S3</t>
        </is>
      </c>
      <c r="G61" s="14" t="inlineStr">
        <is>
          <t>Medium</t>
        </is>
      </c>
      <c r="H61" s="7" t="inlineStr">
        <is>
          <t>Functional</t>
        </is>
      </c>
      <c r="I61" s="8" t="inlineStr">
        <is>
          <t>FS R8 6.2 (Not yet 7)</t>
        </is>
      </c>
      <c r="J61" s="8" t="inlineStr">
        <is>
          <t>ASM-14: MSG-0804 and the FS R8 table 6.2 sentences overlap; assumed the table 6.2 sentence is shown on the EA screen.</t>
        </is>
      </c>
      <c r="K61" s="8" t="inlineStr"/>
      <c r="L61" s="8" t="inlineStr">
        <is>
          <t>C3 citizen DOB 20/05/2021</t>
        </is>
      </c>
      <c r="M61" s="8" t="inlineStr">
        <is>
          <t>1. Log in as PC
2. Open C3's Education Account</t>
        </is>
      </c>
      <c r="N61" s="8" t="inlineStr">
        <is>
          <t>C3 DOB: 20/05/2021</t>
        </is>
      </c>
      <c r="O61" s="8" t="inlineStr">
        <is>
          <t>Sentence states the EA will open on 20/05/2028; no balance</t>
        </is>
      </c>
      <c r="P61" s="7" t="inlineStr">
        <is>
          <t>Automation Candidate</t>
        </is>
      </c>
      <c r="Q61" s="8" t="inlineStr">
        <is>
          <t>Planned</t>
        </is>
      </c>
    </row>
    <row r="62" ht="55" customHeight="1">
      <c r="A62" s="9" t="inlineStr">
        <is>
          <t>TC-R8-061</t>
        </is>
      </c>
      <c r="B62" s="9" t="inlineStr">
        <is>
          <t>TS-005</t>
        </is>
      </c>
      <c r="C62" s="10" t="inlineStr">
        <is>
          <t>Education Account - Account Info</t>
        </is>
      </c>
      <c r="D62" s="10" t="inlineStr">
        <is>
          <t>Verify 'Not eligible' for a non-citizen child</t>
        </is>
      </c>
      <c r="E62" s="10" t="inlineStr">
        <is>
          <t>Education Account</t>
        </is>
      </c>
      <c r="F62" s="9" t="inlineStr">
        <is>
          <t>S2</t>
        </is>
      </c>
      <c r="G62" s="17" t="inlineStr">
        <is>
          <t>High</t>
        </is>
      </c>
      <c r="H62" s="9" t="inlineStr">
        <is>
          <t>Functional</t>
        </is>
      </c>
      <c r="I62" s="10" t="inlineStr">
        <is>
          <t>FS R8 6.2 (Not eligible); R8-AC10</t>
        </is>
      </c>
      <c r="J62" s="10" t="inlineStr"/>
      <c r="K62" s="10" t="inlineStr"/>
      <c r="L62" s="10" t="inlineStr">
        <is>
          <t>C4 is a Permanent Resident</t>
        </is>
      </c>
      <c r="M62" s="10" t="inlineStr">
        <is>
          <t>1. Log in as PC
2. Open C4's Education Account
3. Go back to Home and open C4's fees</t>
        </is>
      </c>
      <c r="N62" s="10" t="inlineStr">
        <is>
          <t>C4 citizenship: PR</t>
        </is>
      </c>
      <c r="O62" s="10" t="inlineStr">
        <is>
          <t>Sentence 'Education Accounts are for Singapore Citizens' shown; no balance
C4's fees can still be viewed</t>
        </is>
      </c>
      <c r="P62" s="9" t="inlineStr">
        <is>
          <t>Automation Candidate</t>
        </is>
      </c>
      <c r="Q62" s="10" t="inlineStr">
        <is>
          <t>Planned</t>
        </is>
      </c>
    </row>
    <row r="63" ht="55" customHeight="1">
      <c r="A63" s="7" t="inlineStr">
        <is>
          <t>TC-R8-062</t>
        </is>
      </c>
      <c r="B63" s="7" t="inlineStr">
        <is>
          <t>TS-005</t>
        </is>
      </c>
      <c r="C63" s="8" t="inlineStr">
        <is>
          <t>Education Account - Account Info</t>
        </is>
      </c>
      <c r="D63" s="8" t="inlineStr">
        <is>
          <t>Verify behaviour when the closure check cannot reach the Government API on view</t>
        </is>
      </c>
      <c r="E63" s="8" t="inlineStr">
        <is>
          <t>Education Account</t>
        </is>
      </c>
      <c r="F63" s="7" t="inlineStr">
        <is>
          <t>S2</t>
        </is>
      </c>
      <c r="G63" s="14" t="inlineStr">
        <is>
          <t>Medium</t>
        </is>
      </c>
      <c r="H63" s="7" t="inlineStr">
        <is>
          <t>Integration</t>
        </is>
      </c>
      <c r="I63" s="8" t="inlineStr">
        <is>
          <t>FS R1 F02-AC09, EF01</t>
        </is>
      </c>
      <c r="J63" s="8" t="inlineStr">
        <is>
          <t>ASM-12: FS R1 v1.2 EF01 covers Government API failure only for financial actions. R8 behaviour when the closure check fails on a view is not defined; record actual behaviour and confirm with BA.</t>
        </is>
      </c>
      <c r="K63" s="8" t="inlineStr"/>
      <c r="L63" s="8" t="inlineStr">
        <is>
          <t>B1 aged 16+; mock Government API returns HTTP 500 during the closure check</t>
        </is>
      </c>
      <c r="M63" s="8" t="inlineStr">
        <is>
          <t>1. Log in as PB
2. Open B1's Education Account
3. Check B1's EA status in DB</t>
        </is>
      </c>
      <c r="N63" s="8" t="inlineStr">
        <is>
          <t>B1 balance S$0.00</t>
        </is>
      </c>
      <c r="O63" s="8" t="inlineStr">
        <is>
          <t>Account is not marked Closed; behaviour/message on screen matches the rule confirmed by BA</t>
        </is>
      </c>
      <c r="P63" s="7" t="inlineStr">
        <is>
          <t>Automation Candidate</t>
        </is>
      </c>
      <c r="Q63" s="8" t="inlineStr">
        <is>
          <t>Planned</t>
        </is>
      </c>
    </row>
    <row r="64" ht="55" customHeight="1">
      <c r="A64" s="9" t="inlineStr">
        <is>
          <t>TC-R8-063</t>
        </is>
      </c>
      <c r="B64" s="9" t="inlineStr">
        <is>
          <t>TS-005</t>
        </is>
      </c>
      <c r="C64" s="10" t="inlineStr">
        <is>
          <t>Education Account - Account Info</t>
        </is>
      </c>
      <c r="D64" s="10" t="inlineStr">
        <is>
          <t>Verify a child turning 16 tomorrow is still Active with full functions</t>
        </is>
      </c>
      <c r="E64" s="10" t="inlineStr">
        <is>
          <t>Education Account</t>
        </is>
      </c>
      <c r="F64" s="9" t="inlineStr">
        <is>
          <t>S2</t>
        </is>
      </c>
      <c r="G64" s="17" t="inlineStr">
        <is>
          <t>High</t>
        </is>
      </c>
      <c r="H64" s="9" t="inlineStr">
        <is>
          <t>Functional</t>
        </is>
      </c>
      <c r="I64" s="10" t="inlineStr">
        <is>
          <t>FR-08.2 rules (16-year rule) - boundary</t>
        </is>
      </c>
      <c r="J64" s="10" t="inlineStr"/>
      <c r="K64" s="10" t="inlineStr"/>
      <c r="L64" s="10" t="inlineStr">
        <is>
          <t>B2 DOB = execution date - 16 years + 1 day</t>
        </is>
      </c>
      <c r="M64" s="10" t="inlineStr">
        <is>
          <t>1. Log in as PB
2. Open B2's Education Account and Home card</t>
        </is>
      </c>
      <c r="N64" s="10" t="inlineStr">
        <is>
          <t>B2 age 15 (16th birthday tomorrow)</t>
        </is>
      </c>
      <c r="O64" s="10" t="inlineStr">
        <is>
          <t>Status Active; balance shown; pay and FAS actions available</t>
        </is>
      </c>
      <c r="P64" s="9" t="inlineStr">
        <is>
          <t>Automation Candidate</t>
        </is>
      </c>
      <c r="Q64" s="10" t="inlineStr">
        <is>
          <t>Planned</t>
        </is>
      </c>
    </row>
    <row r="65" ht="55" customHeight="1">
      <c r="A65" s="7" t="inlineStr">
        <is>
          <t>TC-R8-064</t>
        </is>
      </c>
      <c r="B65" s="7" t="inlineStr">
        <is>
          <t>TS-006</t>
        </is>
      </c>
      <c r="C65" s="8" t="inlineStr">
        <is>
          <t>Education Account - Balance</t>
        </is>
      </c>
      <c r="D65" s="8" t="inlineStr">
        <is>
          <t>Verify available balance counts only Completed transactions</t>
        </is>
      </c>
      <c r="E65" s="8" t="inlineStr">
        <is>
          <t>Education Account</t>
        </is>
      </c>
      <c r="F65" s="7" t="inlineStr">
        <is>
          <t>S1 (highest)</t>
        </is>
      </c>
      <c r="G65" s="16" t="inlineStr">
        <is>
          <t>Critical</t>
        </is>
      </c>
      <c r="H65" s="7" t="inlineStr">
        <is>
          <t>Functional</t>
        </is>
      </c>
      <c r="I65" s="8" t="inlineStr">
        <is>
          <t>FR-08.2 rules (balance)</t>
        </is>
      </c>
      <c r="J65" s="8" t="inlineStr">
        <is>
          <t>ASM-19: FS R1 transactions only have Success/Failed; Pending applies to online payments. 'Completed' in R8 = 'Success' in R1.</t>
        </is>
      </c>
      <c r="K65" s="8" t="inlineStr"/>
      <c r="L65" s="8" t="inlineStr">
        <is>
          <t>A1 transactions: Top-up +S$300.00 Completed; Fee payment -S$50.00 Completed; Top-up +S$100.00 Failed</t>
        </is>
      </c>
      <c r="M65" s="8" t="inlineStr">
        <is>
          <t>1. Open A1's Education Account
2. Read available balance</t>
        </is>
      </c>
      <c r="N65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65" s="8" t="inlineStr">
        <is>
          <t>Available balance = S$250.00 (Failed top-up not counted)</t>
        </is>
      </c>
      <c r="P65" s="7" t="inlineStr">
        <is>
          <t>Automation Candidate</t>
        </is>
      </c>
      <c r="Q65" s="8" t="inlineStr">
        <is>
          <t>Planned</t>
        </is>
      </c>
    </row>
    <row r="66" ht="55" customHeight="1">
      <c r="A66" s="9" t="inlineStr">
        <is>
          <t>TC-R8-065</t>
        </is>
      </c>
      <c r="B66" s="9" t="inlineStr">
        <is>
          <t>TS-006</t>
        </is>
      </c>
      <c r="C66" s="10" t="inlineStr">
        <is>
          <t>Education Account - Balance</t>
        </is>
      </c>
      <c r="D66" s="10" t="inlineStr">
        <is>
          <t>Verify a Pending transaction is shown separately and not deducted</t>
        </is>
      </c>
      <c r="E66" s="10" t="inlineStr">
        <is>
          <t>Education Account</t>
        </is>
      </c>
      <c r="F66" s="9" t="inlineStr">
        <is>
          <t>S1 (highest)</t>
        </is>
      </c>
      <c r="G66" s="16" t="inlineStr">
        <is>
          <t>Critical</t>
        </is>
      </c>
      <c r="H66" s="9" t="inlineStr">
        <is>
          <t>Functional</t>
        </is>
      </c>
      <c r="I66" s="10" t="inlineStr">
        <is>
          <t>FR-08.2 rules; R8-AC25</t>
        </is>
      </c>
      <c r="J66" s="10" t="inlineStr">
        <is>
          <t>ASM-19: FS R1 transactions only have Success/Failed; Pending applies to online payments. 'Completed' in R8 = 'Success' in R1.</t>
        </is>
      </c>
      <c r="K66" s="10" t="inlineStr"/>
      <c r="L66" s="10" t="inlineStr">
        <is>
          <t>A1 balance S$250.00; one online payment S$60.00 Pending</t>
        </is>
      </c>
      <c r="M66" s="10" t="inlineStr">
        <is>
          <t>1. Open A1's Education Account
2. Check the balance block and transaction table</t>
        </is>
      </c>
      <c r="N66" s="10" t="inlineStr">
        <is>
          <t>Pending: online Fee payment S$60.00</t>
        </is>
      </c>
      <c r="O66" s="10" t="inlineStr">
        <is>
          <t>Available balance stays S$250.00
Pending S$60.00 shown in a yellow box
The Pending row has no 'Balance after' value</t>
        </is>
      </c>
      <c r="P66" s="9" t="inlineStr">
        <is>
          <t>Automation Candidate</t>
        </is>
      </c>
      <c r="Q66" s="10" t="inlineStr">
        <is>
          <t>Planned</t>
        </is>
      </c>
    </row>
    <row r="67" ht="55" customHeight="1">
      <c r="A67" s="7" t="inlineStr">
        <is>
          <t>TC-R8-066</t>
        </is>
      </c>
      <c r="B67" s="7" t="inlineStr">
        <is>
          <t>TS-006</t>
        </is>
      </c>
      <c r="C67" s="8" t="inlineStr">
        <is>
          <t>Education Account - Balance</t>
        </is>
      </c>
      <c r="D67" s="8" t="inlineStr">
        <is>
          <t>Verify money in and money out for the current year</t>
        </is>
      </c>
      <c r="E67" s="8" t="inlineStr">
        <is>
          <t>Education Account</t>
        </is>
      </c>
      <c r="F67" s="7" t="inlineStr">
        <is>
          <t>S2</t>
        </is>
      </c>
      <c r="G67" s="17" t="inlineStr">
        <is>
          <t>High</t>
        </is>
      </c>
      <c r="H67" s="7" t="inlineStr">
        <is>
          <t>Functional</t>
        </is>
      </c>
      <c r="I67" s="8" t="inlineStr">
        <is>
          <t>FR-08.2 main flow (2) - boundary year start</t>
        </is>
      </c>
      <c r="J67" s="8" t="inlineStr">
        <is>
          <t>ASM-16: 'Money in / money out this year' = calendar year 01/01-31/12, Singapore time.</t>
        </is>
      </c>
      <c r="K67" s="8" t="inlineStr"/>
      <c r="L67" s="8" t="inlineStr">
        <is>
          <t>A1 Completed transactions: +S$200.00 on 31/12/2025, +S$150.00 on 01/01/2026, -S$70.00 on 15/03/2026, -S$30.00 Failed on 01/04/2026</t>
        </is>
      </c>
      <c r="M67" s="8" t="inlineStr">
        <is>
          <t>1. Open A1's Education Account
2. Read money in / money out this year</t>
        </is>
      </c>
      <c r="N67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67" s="8" t="inlineStr">
        <is>
          <t>Money in = S$150.00; money out = S$70.00 (prior-year and Failed items excluded)</t>
        </is>
      </c>
      <c r="P67" s="7" t="inlineStr">
        <is>
          <t>Automation Candidate</t>
        </is>
      </c>
      <c r="Q67" s="8" t="inlineStr">
        <is>
          <t>Planned</t>
        </is>
      </c>
    </row>
    <row r="68" ht="55" customHeight="1">
      <c r="A68" s="9" t="inlineStr">
        <is>
          <t>TC-R8-067</t>
        </is>
      </c>
      <c r="B68" s="9" t="inlineStr">
        <is>
          <t>TS-006</t>
        </is>
      </c>
      <c r="C68" s="10" t="inlineStr">
        <is>
          <t>Education Account - Balance</t>
        </is>
      </c>
      <c r="D68" s="10" t="inlineStr">
        <is>
          <t>Verify amount format is SGD with 2 decimals and thousand separators</t>
        </is>
      </c>
      <c r="E68" s="10" t="inlineStr">
        <is>
          <t>Education Account</t>
        </is>
      </c>
      <c r="F68" s="9" t="inlineStr">
        <is>
          <t>S3</t>
        </is>
      </c>
      <c r="G68" s="14" t="inlineStr">
        <is>
          <t>Medium</t>
        </is>
      </c>
      <c r="H68" s="9" t="inlineStr">
        <is>
          <t>UI</t>
        </is>
      </c>
      <c r="I68" s="10" t="inlineStr">
        <is>
          <t>FR-08.2 rules; NFR display</t>
        </is>
      </c>
      <c r="J68" s="10" t="inlineStr"/>
      <c r="K68" s="10" t="inlineStr"/>
      <c r="L68" s="10" t="inlineStr">
        <is>
          <t>A5 balance S$1234.5</t>
        </is>
      </c>
      <c r="M68" s="10" t="inlineStr">
        <is>
          <t>1. Open A5's Education Account
2. Read the balance and amounts in the table</t>
        </is>
      </c>
      <c r="N68" s="10" t="inlineStr">
        <is>
          <t>Balance: 1234.5</t>
        </is>
      </c>
      <c r="O68" s="10" t="inlineStr">
        <is>
          <t>Shown as S$1,234.50; all amounts in SGD with 2 decimals</t>
        </is>
      </c>
      <c r="P68" s="9" t="inlineStr">
        <is>
          <t>Automation Candidate</t>
        </is>
      </c>
      <c r="Q68" s="10" t="inlineStr">
        <is>
          <t>Planned</t>
        </is>
      </c>
    </row>
    <row r="69" ht="55" customHeight="1">
      <c r="A69" s="7" t="inlineStr">
        <is>
          <t>TC-R8-068</t>
        </is>
      </c>
      <c r="B69" s="7" t="inlineStr">
        <is>
          <t>TS-006</t>
        </is>
      </c>
      <c r="C69" s="8" t="inlineStr">
        <is>
          <t>Education Account - Balance</t>
        </is>
      </c>
      <c r="D69" s="8" t="inlineStr">
        <is>
          <t>Verify an account with zero balance and no transactions</t>
        </is>
      </c>
      <c r="E69" s="8" t="inlineStr">
        <is>
          <t>Education Account</t>
        </is>
      </c>
      <c r="F69" s="7" t="inlineStr">
        <is>
          <t>S3</t>
        </is>
      </c>
      <c r="G69" s="14" t="inlineStr">
        <is>
          <t>Medium</t>
        </is>
      </c>
      <c r="H69" s="7" t="inlineStr">
        <is>
          <t>Functional</t>
        </is>
      </c>
      <c r="I69" s="8" t="inlineStr">
        <is>
          <t>FR-08.2</t>
        </is>
      </c>
      <c r="J69" s="8" t="inlineStr">
        <is>
          <t>ASM-11: Empty-state text for an account with no transactions is not defined; assumed MSG-0803 'No transactions found.'</t>
        </is>
      </c>
      <c r="K69" s="8" t="inlineStr"/>
      <c r="L69" s="8" t="inlineStr">
        <is>
          <t>A3 EA just created; balance S$0.00; no transactions</t>
        </is>
      </c>
      <c r="M69" s="8" t="inlineStr">
        <is>
          <t>1. Open A3's Education Account</t>
        </is>
      </c>
      <c r="N69" s="8" t="inlineStr">
        <is>
          <t>A3 age 7</t>
        </is>
      </c>
      <c r="O69" s="8" t="inlineStr">
        <is>
          <t>Balance S$0.00; money in/out S$0.00; transaction table shows the empty-state message</t>
        </is>
      </c>
      <c r="P69" s="7" t="inlineStr">
        <is>
          <t>Automation Candidate</t>
        </is>
      </c>
      <c r="Q69" s="8" t="inlineStr">
        <is>
          <t>Planned</t>
        </is>
      </c>
    </row>
    <row r="70" ht="55" customHeight="1">
      <c r="A70" s="9" t="inlineStr">
        <is>
          <t>TC-R8-069</t>
        </is>
      </c>
      <c r="B70" s="9" t="inlineStr">
        <is>
          <t>TS-007</t>
        </is>
      </c>
      <c r="C70" s="10" t="inlineStr">
        <is>
          <t>Education Account - FAS</t>
        </is>
      </c>
      <c r="D70" s="10" t="inlineStr">
        <is>
          <t>Verify the green FAS block for a Granted scheme</t>
        </is>
      </c>
      <c r="E70" s="10" t="inlineStr">
        <is>
          <t>Education Account</t>
        </is>
      </c>
      <c r="F70" s="9" t="inlineStr">
        <is>
          <t>S3</t>
        </is>
      </c>
      <c r="G70" s="14" t="inlineStr">
        <is>
          <t>Medium</t>
        </is>
      </c>
      <c r="H70" s="9" t="inlineStr">
        <is>
          <t>Functional</t>
        </is>
      </c>
      <c r="I70" s="10" t="inlineStr">
        <is>
          <t>FR-08.2 main flow (3); R8-AC27</t>
        </is>
      </c>
      <c r="J70" s="10" t="inlineStr">
        <is>
          <t>ASM-22: FAS (R4/R10) is not delivered in Sprint 1; FAS status is seeded as mock data.</t>
        </is>
      </c>
      <c r="K70" s="10" t="inlineStr"/>
      <c r="L70" s="10" t="inlineStr">
        <is>
          <t>A1 has MOEFAS Tier 2 Granted reducing Textbooks fee</t>
        </is>
      </c>
      <c r="M70" s="10" t="inlineStr">
        <is>
          <t>1. Open A1's Education Account
2. Check the FAS block</t>
        </is>
      </c>
      <c r="N70" s="10" t="inlineStr">
        <is>
          <t>FAS: MOEFAS Tier 2; reduced fee: Textbooks</t>
        </is>
      </c>
      <c r="O70" s="10" t="inlineStr">
        <is>
          <t>Green block shows scheme MOEFAS, Tier 2 and the reduced fee(s)</t>
        </is>
      </c>
      <c r="P70" s="9" t="inlineStr">
        <is>
          <t>Automation Candidate</t>
        </is>
      </c>
      <c r="Q70" s="10" t="inlineStr">
        <is>
          <t>Planned</t>
        </is>
      </c>
    </row>
    <row r="71" ht="55" customHeight="1">
      <c r="A71" s="7" t="inlineStr">
        <is>
          <t>TC-R8-070</t>
        </is>
      </c>
      <c r="B71" s="7" t="inlineStr">
        <is>
          <t>TS-007</t>
        </is>
      </c>
      <c r="C71" s="8" t="inlineStr">
        <is>
          <t>Education Account - FAS</t>
        </is>
      </c>
      <c r="D71" s="8" t="inlineStr">
        <is>
          <t>Verify 'Under review' label for an FAS being assessed</t>
        </is>
      </c>
      <c r="E71" s="8" t="inlineStr">
        <is>
          <t>Education Account</t>
        </is>
      </c>
      <c r="F71" s="7" t="inlineStr">
        <is>
          <t>S4 (lowest)</t>
        </is>
      </c>
      <c r="G71" s="7" t="inlineStr">
        <is>
          <t>Low</t>
        </is>
      </c>
      <c r="H71" s="7" t="inlineStr">
        <is>
          <t>Functional</t>
        </is>
      </c>
      <c r="I71" s="8" t="inlineStr">
        <is>
          <t>FR-08.2 rules (FAS)</t>
        </is>
      </c>
      <c r="J71" s="8" t="inlineStr">
        <is>
          <t>ASM-22: FAS (R4/R10) is not delivered in Sprint 1; FAS status is seeded as mock data.</t>
        </is>
      </c>
      <c r="K71" s="8" t="inlineStr"/>
      <c r="L71" s="8" t="inlineStr">
        <is>
          <t>A2 has an FAS application under review</t>
        </is>
      </c>
      <c r="M71" s="8" t="inlineStr">
        <is>
          <t>1. Open A2's Education Account</t>
        </is>
      </c>
      <c r="N71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71" s="8" t="inlineStr">
        <is>
          <t>FAS area shows the 'Under review' label</t>
        </is>
      </c>
      <c r="P71" s="7" t="inlineStr">
        <is>
          <t>Automation Candidate</t>
        </is>
      </c>
      <c r="Q71" s="8" t="inlineStr">
        <is>
          <t>Planned</t>
        </is>
      </c>
    </row>
    <row r="72" ht="55" customHeight="1">
      <c r="A72" s="9" t="inlineStr">
        <is>
          <t>TC-R8-071</t>
        </is>
      </c>
      <c r="B72" s="9" t="inlineStr">
        <is>
          <t>TS-007</t>
        </is>
      </c>
      <c r="C72" s="10" t="inlineStr">
        <is>
          <t>Education Account - FAS</t>
        </is>
      </c>
      <c r="D72" s="10" t="inlineStr">
        <is>
          <t>Verify the FAS block is hidden when the child has no FAS</t>
        </is>
      </c>
      <c r="E72" s="10" t="inlineStr">
        <is>
          <t>Education Account</t>
        </is>
      </c>
      <c r="F72" s="9" t="inlineStr">
        <is>
          <t>S4 (lowest)</t>
        </is>
      </c>
      <c r="G72" s="9" t="inlineStr">
        <is>
          <t>Low</t>
        </is>
      </c>
      <c r="H72" s="9" t="inlineStr">
        <is>
          <t>Functional</t>
        </is>
      </c>
      <c r="I72" s="10" t="inlineStr">
        <is>
          <t>FR-08.2 rules (FAS); R8-AC27</t>
        </is>
      </c>
      <c r="J72" s="10" t="inlineStr"/>
      <c r="K72" s="10" t="inlineStr"/>
      <c r="L72" s="10" t="inlineStr">
        <is>
          <t>B2 has no FAS record</t>
        </is>
      </c>
      <c r="M72" s="10" t="inlineStr">
        <is>
          <t>1. Log in as PB
2. Open B2's Education Account</t>
        </is>
      </c>
      <c r="N72" s="10" t="inlineStr">
        <is>
          <t>Parent PB</t>
        </is>
      </c>
      <c r="O72" s="10" t="inlineStr">
        <is>
          <t>No FAS block is shown</t>
        </is>
      </c>
      <c r="P72" s="9" t="inlineStr">
        <is>
          <t>Automation Candidate</t>
        </is>
      </c>
      <c r="Q72" s="10" t="inlineStr">
        <is>
          <t>Planned</t>
        </is>
      </c>
    </row>
    <row r="73" ht="55" customHeight="1">
      <c r="A73" s="7" t="inlineStr">
        <is>
          <t>TC-R8-072</t>
        </is>
      </c>
      <c r="B73" s="7" t="inlineStr">
        <is>
          <t>TS-008</t>
        </is>
      </c>
      <c r="C73" s="8" t="inlineStr">
        <is>
          <t>Education Account - Transactions</t>
        </is>
      </c>
      <c r="D73" s="8" t="inlineStr">
        <is>
          <t>Verify the transaction table columns and newest-first order</t>
        </is>
      </c>
      <c r="E73" s="8" t="inlineStr">
        <is>
          <t>Education Account</t>
        </is>
      </c>
      <c r="F73" s="7" t="inlineStr">
        <is>
          <t>S2</t>
        </is>
      </c>
      <c r="G73" s="17" t="inlineStr">
        <is>
          <t>High</t>
        </is>
      </c>
      <c r="H73" s="7" t="inlineStr">
        <is>
          <t>Functional</t>
        </is>
      </c>
      <c r="I73" s="8" t="inlineStr">
        <is>
          <t>FR-08.2 main flow (4); FS R8 6.2; R8-AC06; R8-AC28</t>
        </is>
      </c>
      <c r="J73" s="8" t="inlineStr"/>
      <c r="K73" s="8" t="inlineStr"/>
      <c r="L73" s="8" t="inlineStr">
        <is>
          <t>A1 has 5 transactions on different dates</t>
        </is>
      </c>
      <c r="M73" s="8" t="inlineStr">
        <is>
          <t>1. Open A1's Education Account (single child view)
2. Check the columns and order</t>
        </is>
      </c>
      <c r="N73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73" s="8" t="inlineStr">
        <is>
          <t>Columns: Date &amp; time, Type, Description (with TXN ref), Amount, Balance after, Status
Newest transaction first
No Student column</t>
        </is>
      </c>
      <c r="P73" s="15" t="inlineStr">
        <is>
          <t>Automated</t>
        </is>
      </c>
      <c r="Q73" s="8" t="inlineStr">
        <is>
          <t>tests/fs08/test_ts02_accounts_and_transactions.py::test_tc_r8_072_transactions_page_navigation_and_ledger_structure</t>
        </is>
      </c>
    </row>
    <row r="74" ht="55" customHeight="1">
      <c r="A74" s="9" t="inlineStr">
        <is>
          <t>TC-R8-073</t>
        </is>
      </c>
      <c r="B74" s="9" t="inlineStr">
        <is>
          <t>TS-008</t>
        </is>
      </c>
      <c r="C74" s="10" t="inlineStr">
        <is>
          <t>Education Account - Transactions</t>
        </is>
      </c>
      <c r="D74" s="10" t="inlineStr">
        <is>
          <t>Verify transaction reference format and type colours</t>
        </is>
      </c>
      <c r="E74" s="10" t="inlineStr">
        <is>
          <t>Education Account</t>
        </is>
      </c>
      <c r="F74" s="9" t="inlineStr">
        <is>
          <t>S3</t>
        </is>
      </c>
      <c r="G74" s="14" t="inlineStr">
        <is>
          <t>Medium</t>
        </is>
      </c>
      <c r="H74" s="9" t="inlineStr">
        <is>
          <t>UI</t>
        </is>
      </c>
      <c r="I74" s="10" t="inlineStr">
        <is>
          <t>FR-08.2 rules; R8-AC28</t>
        </is>
      </c>
      <c r="J74" s="10" t="inlineStr">
        <is>
          <t>ASM-20: Transaction type labels follow FS R8 (Top-up, Fee payment, Refund, Closure transfer). Refund and Closure transfer may not exist in Sprint 1 (CPF transfer deferred in FS R1); use seeded mock transactions.</t>
        </is>
      </c>
      <c r="K74" s="10" t="inlineStr"/>
      <c r="L74" s="10" t="inlineStr">
        <is>
          <t>A1 has at least one transaction of each type</t>
        </is>
      </c>
      <c r="M74" s="10" t="inlineStr">
        <is>
          <t>1. Open A1's Education Account
2. Check each row's description and type badge</t>
        </is>
      </c>
      <c r="N74" s="10" t="inlineStr">
        <is>
          <t>Types: Top-up, Fee payment, Refund, Closure transfer</t>
        </is>
      </c>
      <c r="O74" s="10" t="inlineStr">
        <is>
          <t>Each reference matches TXN- followed by 6 digits
Each type has its own distinct colour</t>
        </is>
      </c>
      <c r="P74" s="9" t="inlineStr">
        <is>
          <t>Automation Candidate</t>
        </is>
      </c>
      <c r="Q74" s="10" t="inlineStr">
        <is>
          <t>Planned</t>
        </is>
      </c>
    </row>
    <row r="75" ht="55" customHeight="1">
      <c r="A75" s="7" t="inlineStr">
        <is>
          <t>TC-R8-074</t>
        </is>
      </c>
      <c r="B75" s="7" t="inlineStr">
        <is>
          <t>TS-008</t>
        </is>
      </c>
      <c r="C75" s="8" t="inlineStr">
        <is>
          <t>Education Account - Transactions</t>
        </is>
      </c>
      <c r="D75" s="8" t="inlineStr">
        <is>
          <t>Verify amount signs and colours for money in and money out</t>
        </is>
      </c>
      <c r="E75" s="8" t="inlineStr">
        <is>
          <t>Education Account</t>
        </is>
      </c>
      <c r="F75" s="7" t="inlineStr">
        <is>
          <t>S3</t>
        </is>
      </c>
      <c r="G75" s="14" t="inlineStr">
        <is>
          <t>Medium</t>
        </is>
      </c>
      <c r="H75" s="7" t="inlineStr">
        <is>
          <t>UI</t>
        </is>
      </c>
      <c r="I75" s="8" t="inlineStr">
        <is>
          <t>FR-08.2 rules; FS R8 6.2 (Amount)</t>
        </is>
      </c>
      <c r="J75" s="8" t="inlineStr"/>
      <c r="K75" s="8" t="inlineStr"/>
      <c r="L75" s="8" t="inlineStr">
        <is>
          <t>A1 has a Top-up and a Fee payment</t>
        </is>
      </c>
      <c r="M75" s="8" t="inlineStr">
        <is>
          <t>1. Open A1's Education Account
2. Check the Amount column</t>
        </is>
      </c>
      <c r="N75" s="8" t="inlineStr">
        <is>
          <t>Top-up +S$100.00; Fee payment -S$45.00</t>
        </is>
      </c>
      <c r="O75" s="8" t="inlineStr">
        <is>
          <t>Top-up shows +S$100.00 in green; Fee payment shows -S$45.00 in black</t>
        </is>
      </c>
      <c r="P75" s="7" t="inlineStr">
        <is>
          <t>Automation Candidate</t>
        </is>
      </c>
      <c r="Q75" s="8" t="inlineStr">
        <is>
          <t>Planned</t>
        </is>
      </c>
    </row>
    <row r="76" ht="55" customHeight="1">
      <c r="A76" s="9" t="inlineStr">
        <is>
          <t>TC-R8-075</t>
        </is>
      </c>
      <c r="B76" s="9" t="inlineStr">
        <is>
          <t>TS-008</t>
        </is>
      </c>
      <c r="C76" s="10" t="inlineStr">
        <is>
          <t>Education Account - Transactions</t>
        </is>
      </c>
      <c r="D76" s="10" t="inlineStr">
        <is>
          <t>Verify 'Balance after' for Completed and Failed transactions</t>
        </is>
      </c>
      <c r="E76" s="10" t="inlineStr">
        <is>
          <t>Education Account</t>
        </is>
      </c>
      <c r="F76" s="9" t="inlineStr">
        <is>
          <t>S3</t>
        </is>
      </c>
      <c r="G76" s="14" t="inlineStr">
        <is>
          <t>Medium</t>
        </is>
      </c>
      <c r="H76" s="9" t="inlineStr">
        <is>
          <t>Functional</t>
        </is>
      </c>
      <c r="I76" s="10" t="inlineStr">
        <is>
          <t>FR-08.2 rules; FS R1 2.3 (failed transaction)</t>
        </is>
      </c>
      <c r="J76" s="10" t="inlineStr">
        <is>
          <t>ASM-19: FS R1 transactions only have Success/Failed; Pending applies to online payments. 'Completed' in R8 = 'Success' in R1.</t>
        </is>
      </c>
      <c r="K76" s="10" t="inlineStr"/>
      <c r="L76" s="10" t="inlineStr">
        <is>
          <t>A1: Completed top-up +S$100.00 from S$150.00; Failed top-up S$50.00</t>
        </is>
      </c>
      <c r="M76" s="10" t="inlineStr">
        <is>
          <t>1. Open A1's Education Account
2. Read 'Balance after' for both rows</t>
        </is>
      </c>
      <c r="N76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76" s="10" t="inlineStr">
        <is>
          <t>Completed row shows S$250.00
Failed row does not change the balance</t>
        </is>
      </c>
      <c r="P76" s="9" t="inlineStr">
        <is>
          <t>Automation Candidate</t>
        </is>
      </c>
      <c r="Q76" s="10" t="inlineStr">
        <is>
          <t>Planned</t>
        </is>
      </c>
    </row>
    <row r="77" ht="55" customHeight="1">
      <c r="A77" s="7" t="inlineStr">
        <is>
          <t>TC-R8-076</t>
        </is>
      </c>
      <c r="B77" s="7" t="inlineStr">
        <is>
          <t>TS-008</t>
        </is>
      </c>
      <c r="C77" s="8" t="inlineStr">
        <is>
          <t>Education Account - Transactions</t>
        </is>
      </c>
      <c r="D77" s="8" t="inlineStr">
        <is>
          <t>Verify an online payment shows amount and 'online' without changing the EA balance</t>
        </is>
      </c>
      <c r="E77" s="8" t="inlineStr">
        <is>
          <t>Education Account</t>
        </is>
      </c>
      <c r="F77" s="7" t="inlineStr">
        <is>
          <t>S1 (highest)</t>
        </is>
      </c>
      <c r="G77" s="16" t="inlineStr">
        <is>
          <t>Critical</t>
        </is>
      </c>
      <c r="H77" s="7" t="inlineStr">
        <is>
          <t>Functional</t>
        </is>
      </c>
      <c r="I77" s="8" t="inlineStr">
        <is>
          <t>FS R8 6.2 (Amount); test plan 3.9 (online payment must not debit EA)</t>
        </is>
      </c>
      <c r="J77" s="8" t="inlineStr"/>
      <c r="K77" s="8" t="inlineStr"/>
      <c r="L77" s="8" t="inlineStr">
        <is>
          <t>A1 balance S$250.00; online card payment S$90.00 Completed for a fee</t>
        </is>
      </c>
      <c r="M77" s="8" t="inlineStr">
        <is>
          <t>1. Open A1's Education Account
2. Check the online payment row and the balance</t>
        </is>
      </c>
      <c r="N77" s="8" t="inlineStr">
        <is>
          <t>Online payment S$90.00</t>
        </is>
      </c>
      <c r="O77" s="8" t="inlineStr">
        <is>
          <t>Row shows S$90.00 with 'online'; available balance stays S$250.00</t>
        </is>
      </c>
      <c r="P77" s="7" t="inlineStr">
        <is>
          <t>Automation Candidate</t>
        </is>
      </c>
      <c r="Q77" s="8" t="inlineStr">
        <is>
          <t>Planned</t>
        </is>
      </c>
    </row>
    <row r="78" ht="55" customHeight="1">
      <c r="A78" s="9" t="inlineStr">
        <is>
          <t>TC-R8-077</t>
        </is>
      </c>
      <c r="B78" s="9" t="inlineStr">
        <is>
          <t>TS-008</t>
        </is>
      </c>
      <c r="C78" s="10" t="inlineStr">
        <is>
          <t>Education Account - Transactions</t>
        </is>
      </c>
      <c r="D78" s="10" t="inlineStr">
        <is>
          <t>Verify a Pending online payment shows [Continue payment]</t>
        </is>
      </c>
      <c r="E78" s="10" t="inlineStr">
        <is>
          <t>Education Account</t>
        </is>
      </c>
      <c r="F78" s="9" t="inlineStr">
        <is>
          <t>S3</t>
        </is>
      </c>
      <c r="G78" s="14" t="inlineStr">
        <is>
          <t>Medium</t>
        </is>
      </c>
      <c r="H78" s="9" t="inlineStr">
        <is>
          <t>Functional</t>
        </is>
      </c>
      <c r="I78" s="10" t="inlineStr">
        <is>
          <t>FS R8 6.2 (Status)</t>
        </is>
      </c>
      <c r="J78" s="10" t="inlineStr">
        <is>
          <t>ASM-19: FS R1 transactions only have Success/Failed; Pending applies to online payments. 'Completed' in R8 = 'Success' in R1.</t>
        </is>
      </c>
      <c r="K78" s="10" t="inlineStr"/>
      <c r="L78" s="10" t="inlineStr">
        <is>
          <t>A1 has an online payment in Pending</t>
        </is>
      </c>
      <c r="M78" s="10" t="inlineStr">
        <is>
          <t>1. Open A1's Education Account
2. Check the Pending row
3. Click [Continue payment]</t>
        </is>
      </c>
      <c r="N78" s="10" t="inlineStr">
        <is>
          <t>Pending online payment S$60.00</t>
        </is>
      </c>
      <c r="O78" s="10" t="inlineStr">
        <is>
          <t>Status Pending with a [Continue payment] button that opens the payment flow (FS-09)</t>
        </is>
      </c>
      <c r="P78" s="9" t="inlineStr">
        <is>
          <t>Automation Candidate</t>
        </is>
      </c>
      <c r="Q78" s="10" t="inlineStr">
        <is>
          <t>Planned</t>
        </is>
      </c>
    </row>
    <row r="79" ht="55" customHeight="1">
      <c r="A79" s="7" t="inlineStr">
        <is>
          <t>TC-R8-078</t>
        </is>
      </c>
      <c r="B79" s="7" t="inlineStr">
        <is>
          <t>TS-008</t>
        </is>
      </c>
      <c r="C79" s="8" t="inlineStr">
        <is>
          <t>Education Account - Transactions</t>
        </is>
      </c>
      <c r="D79" s="8" t="inlineStr">
        <is>
          <t>Verify [View fee] on a Fee payment opens that child's Fees page</t>
        </is>
      </c>
      <c r="E79" s="8" t="inlineStr">
        <is>
          <t>Education Account &gt; Fees</t>
        </is>
      </c>
      <c r="F79" s="7" t="inlineStr">
        <is>
          <t>S3</t>
        </is>
      </c>
      <c r="G79" s="14" t="inlineStr">
        <is>
          <t>Medium</t>
        </is>
      </c>
      <c r="H79" s="7" t="inlineStr">
        <is>
          <t>Functional</t>
        </is>
      </c>
      <c r="I79" s="8" t="inlineStr">
        <is>
          <t>FR-08.2 rules; R8-AC28</t>
        </is>
      </c>
      <c r="J79" s="8" t="inlineStr"/>
      <c r="K79" s="8" t="inlineStr"/>
      <c r="L79" s="8" t="inlineStr">
        <is>
          <t>A1 has a Completed Fee payment</t>
        </is>
      </c>
      <c r="M79" s="8" t="inlineStr">
        <is>
          <t>1. Open A1's Education Account
2. Click [View fee] on the Fee payment row</t>
        </is>
      </c>
      <c r="N79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79" s="8" t="inlineStr">
        <is>
          <t>Fees page (FS-09) of A1 opens with the related fee</t>
        </is>
      </c>
      <c r="P79" s="7" t="inlineStr">
        <is>
          <t>Automation Candidate</t>
        </is>
      </c>
      <c r="Q79" s="8" t="inlineStr">
        <is>
          <t>Planned</t>
        </is>
      </c>
    </row>
    <row r="80" ht="55" customHeight="1">
      <c r="A80" s="9" t="inlineStr">
        <is>
          <t>TC-R8-079</t>
        </is>
      </c>
      <c r="B80" s="9" t="inlineStr">
        <is>
          <t>TS-008</t>
        </is>
      </c>
      <c r="C80" s="10" t="inlineStr">
        <is>
          <t>Education Account - Transactions</t>
        </is>
      </c>
      <c r="D80" s="10" t="inlineStr">
        <is>
          <t>Verify pagination with 21 transactions</t>
        </is>
      </c>
      <c r="E80" s="10" t="inlineStr">
        <is>
          <t>Education Account</t>
        </is>
      </c>
      <c r="F80" s="9" t="inlineStr">
        <is>
          <t>S3</t>
        </is>
      </c>
      <c r="G80" s="14" t="inlineStr">
        <is>
          <t>Medium</t>
        </is>
      </c>
      <c r="H80" s="9" t="inlineStr">
        <is>
          <t>Functional</t>
        </is>
      </c>
      <c r="I80" s="10" t="inlineStr">
        <is>
          <t>FS R8 6.2 (20 rows per page) - boundary</t>
        </is>
      </c>
      <c r="J80" s="10" t="inlineStr"/>
      <c r="K80" s="10" t="inlineStr"/>
      <c r="L80" s="10" t="inlineStr">
        <is>
          <t>A5 has 21 transactions</t>
        </is>
      </c>
      <c r="M80" s="10" t="inlineStr">
        <is>
          <t>1. Open A5's Education Account
2. Check page 1
3. Click [Next]
4. Click [Previous]</t>
        </is>
      </c>
      <c r="N80" s="10" t="inlineStr">
        <is>
          <t>21 transactions</t>
        </is>
      </c>
      <c r="O80" s="10" t="inlineStr">
        <is>
          <t>Page 1 shows 20 rows and total '21 transactions'
Page 2 shows 1 row
[Previous] returns to page 1</t>
        </is>
      </c>
      <c r="P80" s="9" t="inlineStr">
        <is>
          <t>Automation Candidate</t>
        </is>
      </c>
      <c r="Q80" s="10" t="inlineStr">
        <is>
          <t>Planned</t>
        </is>
      </c>
    </row>
    <row r="81" ht="55" customHeight="1">
      <c r="A81" s="7" t="inlineStr">
        <is>
          <t>TC-R8-080</t>
        </is>
      </c>
      <c r="B81" s="7" t="inlineStr">
        <is>
          <t>TS-008</t>
        </is>
      </c>
      <c r="C81" s="8" t="inlineStr">
        <is>
          <t>Education Account - Transactions</t>
        </is>
      </c>
      <c r="D81" s="8" t="inlineStr">
        <is>
          <t>Verify a single page with exactly 20 transactions</t>
        </is>
      </c>
      <c r="E81" s="8" t="inlineStr">
        <is>
          <t>Education Account</t>
        </is>
      </c>
      <c r="F81" s="7" t="inlineStr">
        <is>
          <t>S4 (lowest)</t>
        </is>
      </c>
      <c r="G81" s="7" t="inlineStr">
        <is>
          <t>Low</t>
        </is>
      </c>
      <c r="H81" s="7" t="inlineStr">
        <is>
          <t>Functional</t>
        </is>
      </c>
      <c r="I81" s="8" t="inlineStr">
        <is>
          <t>FS R8 6.2 (pagination) - boundary</t>
        </is>
      </c>
      <c r="J81" s="8" t="inlineStr"/>
      <c r="K81" s="8" t="inlineStr"/>
      <c r="L81" s="8" t="inlineStr">
        <is>
          <t>A6 has 20 transactions</t>
        </is>
      </c>
      <c r="M81" s="8" t="inlineStr">
        <is>
          <t>1. Open A6's Education Account</t>
        </is>
      </c>
      <c r="N81" s="8" t="inlineStr">
        <is>
          <t>20 transactions</t>
        </is>
      </c>
      <c r="O81" s="8" t="inlineStr">
        <is>
          <t>20 rows on one page; [Next] is disabled or hidden; total shows 20</t>
        </is>
      </c>
      <c r="P81" s="7" t="inlineStr">
        <is>
          <t>Automation Candidate</t>
        </is>
      </c>
      <c r="Q81" s="8" t="inlineStr">
        <is>
          <t>Planned</t>
        </is>
      </c>
    </row>
    <row r="82" ht="55" customHeight="1">
      <c r="A82" s="9" t="inlineStr">
        <is>
          <t>TC-R8-081</t>
        </is>
      </c>
      <c r="B82" s="9" t="inlineStr">
        <is>
          <t>TS-008</t>
        </is>
      </c>
      <c r="C82" s="10" t="inlineStr">
        <is>
          <t>Education Account - Transactions</t>
        </is>
      </c>
      <c r="D82" s="10" t="inlineStr">
        <is>
          <t>Verify filter by type Refund</t>
        </is>
      </c>
      <c r="E82" s="10" t="inlineStr">
        <is>
          <t>Education Account</t>
        </is>
      </c>
      <c r="F82" s="9" t="inlineStr">
        <is>
          <t>S3</t>
        </is>
      </c>
      <c r="G82" s="14" t="inlineStr">
        <is>
          <t>Medium</t>
        </is>
      </c>
      <c r="H82" s="9" t="inlineStr">
        <is>
          <t>Functional</t>
        </is>
      </c>
      <c r="I82" s="10" t="inlineStr">
        <is>
          <t>FR-08.2 (filter); R8-AC28</t>
        </is>
      </c>
      <c r="J82" s="10" t="inlineStr">
        <is>
          <t>ASM-20: Transaction type labels follow FS R8 (Top-up, Fee payment, Refund, Closure transfer). Refund and Closure transfer may not exist in Sprint 1 (CPF transfer deferred in FS R1); use seeded mock transactions.</t>
        </is>
      </c>
      <c r="K82" s="10" t="inlineStr"/>
      <c r="L82" s="10" t="inlineStr">
        <is>
          <t>A1 has transactions of all 4 types including 2 Refunds</t>
        </is>
      </c>
      <c r="M82" s="10" t="inlineStr">
        <is>
          <t>1. Set Type = Refund
2. Click [Apply filter]</t>
        </is>
      </c>
      <c r="N82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82" s="10" t="inlineStr">
        <is>
          <t>Only the 2 Refund rows are shown</t>
        </is>
      </c>
      <c r="P82" s="15" t="inlineStr">
        <is>
          <t>Automated</t>
        </is>
      </c>
      <c r="Q82" s="10" t="inlineStr">
        <is>
          <t>tests/fs08/test_ts02_accounts_and_transactions.py::test_tc_r8_081_transactions_filter_empty_state_msg0803</t>
        </is>
      </c>
    </row>
    <row r="83" ht="55" customHeight="1">
      <c r="A83" s="7" t="inlineStr">
        <is>
          <t>TC-R8-082</t>
        </is>
      </c>
      <c r="B83" s="7" t="inlineStr">
        <is>
          <t>TS-008</t>
        </is>
      </c>
      <c r="C83" s="8" t="inlineStr">
        <is>
          <t>Education Account - Transactions</t>
        </is>
      </c>
      <c r="D83" s="8" t="inlineStr">
        <is>
          <t>Verify filter by each transaction type</t>
        </is>
      </c>
      <c r="E83" s="8" t="inlineStr">
        <is>
          <t>Education Account</t>
        </is>
      </c>
      <c r="F83" s="7" t="inlineStr">
        <is>
          <t>S3</t>
        </is>
      </c>
      <c r="G83" s="14" t="inlineStr">
        <is>
          <t>Medium</t>
        </is>
      </c>
      <c r="H83" s="7" t="inlineStr">
        <is>
          <t>Functional</t>
        </is>
      </c>
      <c r="I83" s="8" t="inlineStr">
        <is>
          <t>FS R8 6.2 (filter Type)</t>
        </is>
      </c>
      <c r="J83" s="8" t="inlineStr">
        <is>
          <t>ASM-20: Transaction type labels follow FS R8 (Top-up, Fee payment, Refund, Closure transfer). Refund and Closure transfer may not exist in Sprint 1 (CPF transfer deferred in FS R1); use seeded mock transactions.</t>
        </is>
      </c>
      <c r="K83" s="8" t="inlineStr"/>
      <c r="L83" s="8" t="inlineStr">
        <is>
          <t>A1 has transactions of all 4 types</t>
        </is>
      </c>
      <c r="M83" s="8" t="inlineStr">
        <is>
          <t>1. For each Type value, select it and click [Apply filter]</t>
        </is>
      </c>
      <c r="N83" s="8" t="inlineStr">
        <is>
          <t>Type values: Top-up, Fee payment, Closure transfer, All</t>
        </is>
      </c>
      <c r="O83" s="8" t="inlineStr">
        <is>
          <t>Each filter shows only that type; All shows every row</t>
        </is>
      </c>
      <c r="P83" s="7" t="inlineStr">
        <is>
          <t>Automation Candidate</t>
        </is>
      </c>
      <c r="Q83" s="8" t="inlineStr">
        <is>
          <t>Planned</t>
        </is>
      </c>
    </row>
    <row r="84" ht="55" customHeight="1">
      <c r="A84" s="9" t="inlineStr">
        <is>
          <t>TC-R8-083</t>
        </is>
      </c>
      <c r="B84" s="9" t="inlineStr">
        <is>
          <t>TS-008</t>
        </is>
      </c>
      <c r="C84" s="10" t="inlineStr">
        <is>
          <t>Education Account - Transactions</t>
        </is>
      </c>
      <c r="D84" s="10" t="inlineStr">
        <is>
          <t>Verify filter by money flow</t>
        </is>
      </c>
      <c r="E84" s="10" t="inlineStr">
        <is>
          <t>Education Account</t>
        </is>
      </c>
      <c r="F84" s="9" t="inlineStr">
        <is>
          <t>S3</t>
        </is>
      </c>
      <c r="G84" s="14" t="inlineStr">
        <is>
          <t>Medium</t>
        </is>
      </c>
      <c r="H84" s="9" t="inlineStr">
        <is>
          <t>Functional</t>
        </is>
      </c>
      <c r="I84" s="10" t="inlineStr">
        <is>
          <t>FS R8 6.2 (filter Money flow)</t>
        </is>
      </c>
      <c r="J84" s="10" t="inlineStr"/>
      <c r="K84" s="10" t="inlineStr"/>
      <c r="L84" s="10" t="inlineStr">
        <is>
          <t>A1 has money-in and money-out transactions</t>
        </is>
      </c>
      <c r="M84" s="10" t="inlineStr">
        <is>
          <t>1. Money flow = Money in, click [Apply filter]
2. Money flow = Money out, click [Apply filter]</t>
        </is>
      </c>
      <c r="N84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84" s="10" t="inlineStr">
        <is>
          <t>Money in shows only positive amounts; Money out shows only negative amounts</t>
        </is>
      </c>
      <c r="P84" s="9" t="inlineStr">
        <is>
          <t>Automation Candidate</t>
        </is>
      </c>
      <c r="Q84" s="10" t="inlineStr">
        <is>
          <t>Planned</t>
        </is>
      </c>
    </row>
    <row r="85" ht="55" customHeight="1">
      <c r="A85" s="7" t="inlineStr">
        <is>
          <t>TC-R8-084</t>
        </is>
      </c>
      <c r="B85" s="7" t="inlineStr">
        <is>
          <t>TS-008</t>
        </is>
      </c>
      <c r="C85" s="8" t="inlineStr">
        <is>
          <t>Education Account - Transactions</t>
        </is>
      </c>
      <c r="D85" s="8" t="inlineStr">
        <is>
          <t>Verify the date range filter includes the From and To dates</t>
        </is>
      </c>
      <c r="E85" s="8" t="inlineStr">
        <is>
          <t>Education Account</t>
        </is>
      </c>
      <c r="F85" s="7" t="inlineStr">
        <is>
          <t>S3</t>
        </is>
      </c>
      <c r="G85" s="14" t="inlineStr">
        <is>
          <t>Medium</t>
        </is>
      </c>
      <c r="H85" s="7" t="inlineStr">
        <is>
          <t>Functional</t>
        </is>
      </c>
      <c r="I85" s="8" t="inlineStr">
        <is>
          <t>FS R8 6.2 (filter From/To) - boundary</t>
        </is>
      </c>
      <c r="J85" s="8" t="inlineStr"/>
      <c r="K85" s="8" t="inlineStr"/>
      <c r="L85" s="8" t="inlineStr">
        <is>
          <t>A1 transactions on 31/08, 01/09, 30/09 and 01/10/2026</t>
        </is>
      </c>
      <c r="M85" s="8" t="inlineStr">
        <is>
          <t>1. Enter From and To
2. Click [Apply filter]</t>
        </is>
      </c>
      <c r="N85" s="8" t="inlineStr">
        <is>
          <t>From 01/09/2026; To 30/09/2026</t>
        </is>
      </c>
      <c r="O85" s="8" t="inlineStr">
        <is>
          <t>Rows dated 01/09 and 30/09 are shown; 31/08 and 01/10 are not</t>
        </is>
      </c>
      <c r="P85" s="7" t="inlineStr">
        <is>
          <t>Automation Candidate</t>
        </is>
      </c>
      <c r="Q85" s="8" t="inlineStr">
        <is>
          <t>Planned</t>
        </is>
      </c>
    </row>
    <row r="86" ht="55" customHeight="1">
      <c r="A86" s="9" t="inlineStr">
        <is>
          <t>TC-R8-085</t>
        </is>
      </c>
      <c r="B86" s="9" t="inlineStr">
        <is>
          <t>TS-008</t>
        </is>
      </c>
      <c r="C86" s="10" t="inlineStr">
        <is>
          <t>Education Account - Transactions</t>
        </is>
      </c>
      <c r="D86" s="10" t="inlineStr">
        <is>
          <t>Verify the filter rejects From later than To</t>
        </is>
      </c>
      <c r="E86" s="10" t="inlineStr">
        <is>
          <t>Education Account</t>
        </is>
      </c>
      <c r="F86" s="9" t="inlineStr">
        <is>
          <t>S4 (lowest)</t>
        </is>
      </c>
      <c r="G86" s="9" t="inlineStr">
        <is>
          <t>Low</t>
        </is>
      </c>
      <c r="H86" s="9" t="inlineStr">
        <is>
          <t>Functional</t>
        </is>
      </c>
      <c r="I86" s="10" t="inlineStr">
        <is>
          <t>FS R8 6.2 (filter)</t>
        </is>
      </c>
      <c r="J86" s="10" t="inlineStr">
        <is>
          <t>ASM-10: Validation for From date later than To date is not defined; assumed Apply filter is blocked with an inline error.</t>
        </is>
      </c>
      <c r="K86" s="10" t="inlineStr"/>
      <c r="L86" s="10" t="inlineStr">
        <is>
          <t>A1 has transactions</t>
        </is>
      </c>
      <c r="M86" s="10" t="inlineStr">
        <is>
          <t>1. Enter From and To
2. Click [Apply filter]</t>
        </is>
      </c>
      <c r="N86" s="10" t="inlineStr">
        <is>
          <t>From 30/09/2026; To 01/09/2026</t>
        </is>
      </c>
      <c r="O86" s="10" t="inlineStr">
        <is>
          <t>Filter is not applied and an error is shown</t>
        </is>
      </c>
      <c r="P86" s="9" t="inlineStr">
        <is>
          <t>Automation Candidate</t>
        </is>
      </c>
      <c r="Q86" s="10" t="inlineStr">
        <is>
          <t>Planned</t>
        </is>
      </c>
    </row>
    <row r="87" ht="55" customHeight="1">
      <c r="A87" s="7" t="inlineStr">
        <is>
          <t>TC-R8-086</t>
        </is>
      </c>
      <c r="B87" s="7" t="inlineStr">
        <is>
          <t>TS-008</t>
        </is>
      </c>
      <c r="C87" s="8" t="inlineStr">
        <is>
          <t>Education Account - Transactions</t>
        </is>
      </c>
      <c r="D87" s="8" t="inlineStr">
        <is>
          <t>Verify a filter with no results shows MSG-0803</t>
        </is>
      </c>
      <c r="E87" s="8" t="inlineStr">
        <is>
          <t>Education Account</t>
        </is>
      </c>
      <c r="F87" s="7" t="inlineStr">
        <is>
          <t>S3</t>
        </is>
      </c>
      <c r="G87" s="14" t="inlineStr">
        <is>
          <t>Medium</t>
        </is>
      </c>
      <c r="H87" s="7" t="inlineStr">
        <is>
          <t>Functional</t>
        </is>
      </c>
      <c r="I87" s="8" t="inlineStr">
        <is>
          <t>FR-08.2 errors; R8-AC11</t>
        </is>
      </c>
      <c r="J87" s="8" t="inlineStr"/>
      <c r="K87" s="8" t="inlineStr"/>
      <c r="L87" s="8" t="inlineStr">
        <is>
          <t>A2 has no Refund</t>
        </is>
      </c>
      <c r="M87" s="8" t="inlineStr">
        <is>
          <t>1. Open A2's Education Account
2. Type = Refund, click [Apply filter]</t>
        </is>
      </c>
      <c r="N87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87" s="8" t="inlineStr">
        <is>
          <t>MSG-0803 'No transactions found.' is shown</t>
        </is>
      </c>
      <c r="P87" s="7" t="inlineStr">
        <is>
          <t>Automation Candidate</t>
        </is>
      </c>
      <c r="Q87" s="8" t="inlineStr">
        <is>
          <t>Planned</t>
        </is>
      </c>
    </row>
    <row r="88" ht="55" customHeight="1">
      <c r="A88" s="9" t="inlineStr">
        <is>
          <t>TC-R8-087</t>
        </is>
      </c>
      <c r="B88" s="9" t="inlineStr">
        <is>
          <t>TS-008</t>
        </is>
      </c>
      <c r="C88" s="10" t="inlineStr">
        <is>
          <t>Education Account - Transactions</t>
        </is>
      </c>
      <c r="D88" s="10" t="inlineStr">
        <is>
          <t>Verify filters apply only after clicking [Apply filter]</t>
        </is>
      </c>
      <c r="E88" s="10" t="inlineStr">
        <is>
          <t>Education Account</t>
        </is>
      </c>
      <c r="F88" s="9" t="inlineStr">
        <is>
          <t>S4 (lowest)</t>
        </is>
      </c>
      <c r="G88" s="9" t="inlineStr">
        <is>
          <t>Low</t>
        </is>
      </c>
      <c r="H88" s="9" t="inlineStr">
        <is>
          <t>UI</t>
        </is>
      </c>
      <c r="I88" s="10" t="inlineStr">
        <is>
          <t>FS R8 6.2 (Apply filter)</t>
        </is>
      </c>
      <c r="J88" s="10" t="inlineStr"/>
      <c r="K88" s="10" t="inlineStr"/>
      <c r="L88" s="10" t="inlineStr">
        <is>
          <t>A1 has transactions</t>
        </is>
      </c>
      <c r="M88" s="10" t="inlineStr">
        <is>
          <t>1. Change Type to Top-up without clicking [Apply filter]
2. Click [Apply filter]</t>
        </is>
      </c>
      <c r="N88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88" s="10" t="inlineStr">
        <is>
          <t>Table does not change after step 1; it is filtered after step 2</t>
        </is>
      </c>
      <c r="P88" s="9" t="inlineStr">
        <is>
          <t>Automation Candidate</t>
        </is>
      </c>
      <c r="Q88" s="10" t="inlineStr">
        <is>
          <t>Planned</t>
        </is>
      </c>
    </row>
    <row r="89" ht="55" customHeight="1">
      <c r="A89" s="7" t="inlineStr">
        <is>
          <t>TC-R8-088</t>
        </is>
      </c>
      <c r="B89" s="7" t="inlineStr">
        <is>
          <t>TS-008</t>
        </is>
      </c>
      <c r="C89" s="8" t="inlineStr">
        <is>
          <t>Education Account - Transactions</t>
        </is>
      </c>
      <c r="D89" s="8" t="inlineStr">
        <is>
          <t>Verify combined date, type and money flow filters</t>
        </is>
      </c>
      <c r="E89" s="8" t="inlineStr">
        <is>
          <t>Education Account</t>
        </is>
      </c>
      <c r="F89" s="7" t="inlineStr">
        <is>
          <t>S3</t>
        </is>
      </c>
      <c r="G89" s="14" t="inlineStr">
        <is>
          <t>Medium</t>
        </is>
      </c>
      <c r="H89" s="7" t="inlineStr">
        <is>
          <t>Functional</t>
        </is>
      </c>
      <c r="I89" s="8" t="inlineStr">
        <is>
          <t>FS R8 6.2 (filter)</t>
        </is>
      </c>
      <c r="J89" s="8" t="inlineStr"/>
      <c r="K89" s="8" t="inlineStr"/>
      <c r="L89" s="8" t="inlineStr">
        <is>
          <t>A1 has mixed transactions in September and October 2026</t>
        </is>
      </c>
      <c r="M89" s="8" t="inlineStr">
        <is>
          <t>1. Set all filters
2. Click [Apply filter]</t>
        </is>
      </c>
      <c r="N89" s="8" t="inlineStr">
        <is>
          <t>From 01/10/2026; To 31/10/2026; Type Fee payment; Money out</t>
        </is>
      </c>
      <c r="O89" s="8" t="inlineStr">
        <is>
          <t>Only Fee payment money-out rows dated in October 2026 are shown</t>
        </is>
      </c>
      <c r="P89" s="7" t="inlineStr">
        <is>
          <t>Automation Candidate</t>
        </is>
      </c>
      <c r="Q89" s="8" t="inlineStr">
        <is>
          <t>Planned</t>
        </is>
      </c>
    </row>
    <row r="90" ht="55" customHeight="1">
      <c r="A90" s="9" t="inlineStr">
        <is>
          <t>TC-R8-089</t>
        </is>
      </c>
      <c r="B90" s="9" t="inlineStr">
        <is>
          <t>TS-008</t>
        </is>
      </c>
      <c r="C90" s="10" t="inlineStr">
        <is>
          <t>Education Account - Transactions</t>
        </is>
      </c>
      <c r="D90" s="10" t="inlineStr">
        <is>
          <t>Verify the All view for a parent with several children</t>
        </is>
      </c>
      <c r="E90" s="10" t="inlineStr">
        <is>
          <t>Education Account</t>
        </is>
      </c>
      <c r="F90" s="9" t="inlineStr">
        <is>
          <t>S2</t>
        </is>
      </c>
      <c r="G90" s="17" t="inlineStr">
        <is>
          <t>High</t>
        </is>
      </c>
      <c r="H90" s="9" t="inlineStr">
        <is>
          <t>Functional</t>
        </is>
      </c>
      <c r="I90" s="10" t="inlineStr">
        <is>
          <t>FS R8 6.2 (Nhiều con)</t>
        </is>
      </c>
      <c r="J90" s="10" t="inlineStr"/>
      <c r="K90" s="10" t="inlineStr"/>
      <c r="L90" s="10" t="inlineStr">
        <is>
          <t>FA has A1 and A2 with transactions</t>
        </is>
      </c>
      <c r="M90" s="10" t="inlineStr">
        <is>
          <t>1. Open Education Account
2. Click [All]
3. Click [A1]</t>
        </is>
      </c>
      <c r="N90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90" s="10" t="inlineStr">
        <is>
          <t>All: one balance card per child and a Student column in the table with rows from A1 and A2 only
A1: only A1's data; no Student column</t>
        </is>
      </c>
      <c r="P90" s="9" t="inlineStr">
        <is>
          <t>Automation Candidate</t>
        </is>
      </c>
      <c r="Q90" s="10" t="inlineStr">
        <is>
          <t>Planned</t>
        </is>
      </c>
    </row>
    <row r="91" ht="55" customHeight="1">
      <c r="A91" s="7" t="inlineStr">
        <is>
          <t>TC-R8-090</t>
        </is>
      </c>
      <c r="B91" s="7" t="inlineStr">
        <is>
          <t>TS-008</t>
        </is>
      </c>
      <c r="C91" s="8" t="inlineStr">
        <is>
          <t>Education Account - Transactions</t>
        </is>
      </c>
      <c r="D91" s="8" t="inlineStr">
        <is>
          <t>Verify the All view does not include other families' transactions</t>
        </is>
      </c>
      <c r="E91" s="8" t="inlineStr">
        <is>
          <t>Education Account</t>
        </is>
      </c>
      <c r="F91" s="7" t="inlineStr">
        <is>
          <t>S1 (highest)</t>
        </is>
      </c>
      <c r="G91" s="16" t="inlineStr">
        <is>
          <t>Critical</t>
        </is>
      </c>
      <c r="H91" s="7" t="inlineStr">
        <is>
          <t>Security</t>
        </is>
      </c>
      <c r="I91" s="8" t="inlineStr">
        <is>
          <t>NFR Security; PB-07</t>
        </is>
      </c>
      <c r="J91" s="8" t="inlineStr"/>
      <c r="K91" s="8" t="inlineStr"/>
      <c r="L91" s="8" t="inlineStr">
        <is>
          <t>FA and PB both have children with transactions</t>
        </is>
      </c>
      <c r="M91" s="8" t="inlineStr">
        <is>
          <t>1. Log in as FA
2. Open Education Account &gt; [All]
3. Inspect the API response</t>
        </is>
      </c>
      <c r="N91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
Parent PB children: B1, B2</t>
        </is>
      </c>
      <c r="O91" s="8" t="inlineStr">
        <is>
          <t>Only A1 and A2 rows; no B1 or B2 data in the UI or API response</t>
        </is>
      </c>
      <c r="P91" s="7" t="inlineStr">
        <is>
          <t>Automation Candidate</t>
        </is>
      </c>
      <c r="Q91" s="8" t="inlineStr">
        <is>
          <t>Planned</t>
        </is>
      </c>
    </row>
    <row r="92" ht="55" customHeight="1">
      <c r="A92" s="9" t="inlineStr">
        <is>
          <t>TC-R8-091</t>
        </is>
      </c>
      <c r="B92" s="9" t="inlineStr">
        <is>
          <t>TS-009</t>
        </is>
      </c>
      <c r="C92" s="10" t="inlineStr">
        <is>
          <t>Age 16 View-only Rules</t>
        </is>
      </c>
      <c r="D92" s="10" t="inlineStr">
        <is>
          <t>Verify only the child who turned 16 becomes view-only</t>
        </is>
      </c>
      <c r="E92" s="10" t="inlineStr">
        <is>
          <t>Home / Education Account</t>
        </is>
      </c>
      <c r="F92" s="9" t="inlineStr">
        <is>
          <t>S1 (highest)</t>
        </is>
      </c>
      <c r="G92" s="16" t="inlineStr">
        <is>
          <t>Critical</t>
        </is>
      </c>
      <c r="H92" s="9" t="inlineStr">
        <is>
          <t>Functional</t>
        </is>
      </c>
      <c r="I92" s="10" t="inlineStr">
        <is>
          <t>FR-08.2 rules (per-child rule); R8-AC07</t>
        </is>
      </c>
      <c r="J92" s="10" t="inlineStr">
        <is>
          <t>ASM-03: Per FS R1 v1.2 F02, opening the EA of a child aged 16+ triggers the closure eligibility check. Balance = 0 -&gt; account becomes Closed; 'Due for closure' is expected only when balance &gt; 0 and CPF transfer is deferred. Confirm with BA.</t>
        </is>
      </c>
      <c r="K92" s="10" t="inlineStr"/>
      <c r="L92" s="10" t="inlineStr">
        <is>
          <t>Parent PB: B1 turns 16 today (balance S$40.00); B2 age 14</t>
        </is>
      </c>
      <c r="M92" s="10" t="inlineStr">
        <is>
          <t>1. Log in as PB
2. Check pay and FAS actions for B2
3. Check pay and FAS actions for B1</t>
        </is>
      </c>
      <c r="N92" s="10" t="inlineStr">
        <is>
          <t>B1 DOB = execution date - 16 years</t>
        </is>
      </c>
      <c r="O92" s="10" t="inlineStr">
        <is>
          <t>B2: pay and FAS actions available
B1: no pay action and no FAS application action; data remains viewable</t>
        </is>
      </c>
      <c r="P92" s="15" t="inlineStr">
        <is>
          <t>Automated</t>
        </is>
      </c>
      <c r="Q92" s="10" t="inlineStr">
        <is>
          <t>tests/fs08/test_ts02_accounts_and_transactions.py::test_tc_r8_091_and_092_child_age_16_read_only_mode</t>
        </is>
      </c>
    </row>
    <row r="93" ht="55" customHeight="1">
      <c r="A93" s="7" t="inlineStr">
        <is>
          <t>TC-R8-092</t>
        </is>
      </c>
      <c r="B93" s="7" t="inlineStr">
        <is>
          <t>TS-009</t>
        </is>
      </c>
      <c r="C93" s="8" t="inlineStr">
        <is>
          <t>Age 16 View-only Rules</t>
        </is>
      </c>
      <c r="D93" s="8" t="inlineStr">
        <is>
          <t>Verify a 16-year-old child's information remains viewable</t>
        </is>
      </c>
      <c r="E93" s="8" t="inlineStr">
        <is>
          <t>Home / Education Account / Fees / My details</t>
        </is>
      </c>
      <c r="F93" s="7" t="inlineStr">
        <is>
          <t>S2</t>
        </is>
      </c>
      <c r="G93" s="17" t="inlineStr">
        <is>
          <t>High</t>
        </is>
      </c>
      <c r="H93" s="7" t="inlineStr">
        <is>
          <t>Functional</t>
        </is>
      </c>
      <c r="I93" s="8" t="inlineStr">
        <is>
          <t>FS R8 sec. 3 step 7; R8-AC08</t>
        </is>
      </c>
      <c r="J93" s="8" t="inlineStr"/>
      <c r="K93" s="8" t="inlineStr"/>
      <c r="L93" s="8" t="inlineStr">
        <is>
          <t>B1 aged 16+</t>
        </is>
      </c>
      <c r="M93" s="8" t="inlineStr">
        <is>
          <t>1. Log in as PB
2. Open B1's Education Account, transaction history and Fees
3. Open My details</t>
        </is>
      </c>
      <c r="N93" s="8" t="inlineStr">
        <is>
          <t>Parent PB</t>
        </is>
      </c>
      <c r="O93" s="8" t="inlineStr">
        <is>
          <t>All pages open and show B1's data read-only</t>
        </is>
      </c>
      <c r="P93" s="15" t="inlineStr">
        <is>
          <t>Automated</t>
        </is>
      </c>
      <c r="Q93" s="8" t="inlineStr">
        <is>
          <t>tests/fs08/test_ts02_accounts_and_transactions.py::test_tc_r8_091_and_092_child_age_16_read_only_mode</t>
        </is>
      </c>
    </row>
    <row r="94" ht="55" customHeight="1">
      <c r="A94" s="9" t="inlineStr">
        <is>
          <t>TC-R8-093</t>
        </is>
      </c>
      <c r="B94" s="9" t="inlineStr">
        <is>
          <t>TS-009</t>
        </is>
      </c>
      <c r="C94" s="10" t="inlineStr">
        <is>
          <t>Age 16 View-only Rules</t>
        </is>
      </c>
      <c r="D94" s="10" t="inlineStr">
        <is>
          <t>Verify payment for a 16+ child is rejected by the API</t>
        </is>
      </c>
      <c r="E94" s="10" t="inlineStr">
        <is>
          <t>API</t>
        </is>
      </c>
      <c r="F94" s="9" t="inlineStr">
        <is>
          <t>S1 (highest)</t>
        </is>
      </c>
      <c r="G94" s="16" t="inlineStr">
        <is>
          <t>Critical</t>
        </is>
      </c>
      <c r="H94" s="9" t="inlineStr">
        <is>
          <t>Security</t>
        </is>
      </c>
      <c r="I94" s="10" t="inlineStr">
        <is>
          <t>FR-08.2 rules; FS R1 F02-AC05</t>
        </is>
      </c>
      <c r="J94" s="10" t="inlineStr"/>
      <c r="K94" s="10" t="inlineStr"/>
      <c r="L94" s="10" t="inlineStr">
        <is>
          <t>B1 aged 16+ with an outstanding charge</t>
        </is>
      </c>
      <c r="M94" s="10" t="inlineStr">
        <is>
          <t>1. Log in as PB
2. Call the payment API directly for B1's charge</t>
        </is>
      </c>
      <c r="N94" s="10" t="inlineStr">
        <is>
          <t>B1 charge S$20.00</t>
        </is>
      </c>
      <c r="O94" s="10" t="inlineStr">
        <is>
          <t>Request rejected; no transaction created; balance unchanged</t>
        </is>
      </c>
      <c r="P94" s="15" t="inlineStr">
        <is>
          <t>Automated</t>
        </is>
      </c>
      <c r="Q94" s="10" t="inlineStr">
        <is>
          <t>tests/fs08/test_ts03_parent_profile.py::test_tc_r8_093_all_children_age_16_locks_profile_edit</t>
        </is>
      </c>
    </row>
    <row r="95" ht="55" customHeight="1">
      <c r="A95" s="7" t="inlineStr">
        <is>
          <t>TC-R8-094</t>
        </is>
      </c>
      <c r="B95" s="7" t="inlineStr">
        <is>
          <t>TS-010</t>
        </is>
      </c>
      <c r="C95" s="8" t="inlineStr">
        <is>
          <t>My Details</t>
        </is>
      </c>
      <c r="D95" s="8" t="inlineStr">
        <is>
          <t>Verify My details shows the parent's information with read-only fields</t>
        </is>
      </c>
      <c r="E95" s="8" t="inlineStr">
        <is>
          <t>My details</t>
        </is>
      </c>
      <c r="F95" s="7" t="inlineStr">
        <is>
          <t>S2</t>
        </is>
      </c>
      <c r="G95" s="17" t="inlineStr">
        <is>
          <t>High</t>
        </is>
      </c>
      <c r="H95" s="7" t="inlineStr">
        <is>
          <t>UI</t>
        </is>
      </c>
      <c r="I95" s="8" t="inlineStr">
        <is>
          <t>FR-08.3; FS R8 sec. 6 field table</t>
        </is>
      </c>
      <c r="J95" s="8" t="inlineStr"/>
      <c r="K95" s="8" t="inlineStr"/>
      <c r="L95" s="8" t="inlineStr">
        <is>
          <t>FA logged in; A1 and A2 under 16</t>
        </is>
      </c>
      <c r="M95" s="8" t="inlineStr">
        <is>
          <t>1. Open My details</t>
        </is>
      </c>
      <c r="N95" s="8" t="inlineStr">
        <is>
          <t>Parent FA; current phone 91234567; email weiming.tan@example.sg</t>
        </is>
      </c>
      <c r="O95" s="8" t="inlineStr">
        <is>
          <t>Full name, NRIC and residential address are read-only
Mobile number, email and mailing fields are editable
[Save] is shown</t>
        </is>
      </c>
      <c r="P95" s="15" t="inlineStr">
        <is>
          <t>Automated</t>
        </is>
      </c>
      <c r="Q95" s="8" t="inlineStr">
        <is>
          <t>tests/fs08/test_ts03_parent_profile.py::test_tc_r8_094_profile_read_only_singpass_identity_and_nric_toggle</t>
        </is>
      </c>
    </row>
    <row r="96" ht="55" customHeight="1">
      <c r="A96" s="9" t="inlineStr">
        <is>
          <t>TC-R8-095</t>
        </is>
      </c>
      <c r="B96" s="9" t="inlineStr">
        <is>
          <t>TS-010</t>
        </is>
      </c>
      <c r="C96" s="10" t="inlineStr">
        <is>
          <t>My Details</t>
        </is>
      </c>
      <c r="D96" s="10" t="inlineStr">
        <is>
          <t>Verify residential address cannot be edited</t>
        </is>
      </c>
      <c r="E96" s="10" t="inlineStr">
        <is>
          <t>My details</t>
        </is>
      </c>
      <c r="F96" s="9" t="inlineStr">
        <is>
          <t>S2</t>
        </is>
      </c>
      <c r="G96" s="17" t="inlineStr">
        <is>
          <t>High</t>
        </is>
      </c>
      <c r="H96" s="9" t="inlineStr">
        <is>
          <t>Functional</t>
        </is>
      </c>
      <c r="I96" s="10" t="inlineStr">
        <is>
          <t>FR-08.3 rules (D-20); R8-AC18</t>
        </is>
      </c>
      <c r="J96" s="10" t="inlineStr"/>
      <c r="K96" s="10" t="inlineStr"/>
      <c r="L96" s="10" t="inlineStr">
        <is>
          <t>FA logged in</t>
        </is>
      </c>
      <c r="M96" s="10" t="inlineStr">
        <is>
          <t>1. Try to type in the residential address field</t>
        </is>
      </c>
      <c r="N96" s="10" t="inlineStr">
        <is>
          <t>Parent FA; current phone 91234567; email weiming.tan@example.sg</t>
        </is>
      </c>
      <c r="O96" s="10" t="inlineStr">
        <is>
          <t>Field is read-only; value unchanged</t>
        </is>
      </c>
      <c r="P96" s="9" t="inlineStr">
        <is>
          <t>Automation Candidate</t>
        </is>
      </c>
      <c r="Q96" s="10" t="inlineStr">
        <is>
          <t>Planned</t>
        </is>
      </c>
    </row>
    <row r="97" ht="55" customHeight="1">
      <c r="A97" s="7" t="inlineStr">
        <is>
          <t>TC-R8-096</t>
        </is>
      </c>
      <c r="B97" s="7" t="inlineStr">
        <is>
          <t>TS-010</t>
        </is>
      </c>
      <c r="C97" s="8" t="inlineStr">
        <is>
          <t>My Details</t>
        </is>
      </c>
      <c r="D97" s="8" t="inlineStr">
        <is>
          <t>Verify the API ignores or rejects changes to read-only fields</t>
        </is>
      </c>
      <c r="E97" s="8" t="inlineStr">
        <is>
          <t>API</t>
        </is>
      </c>
      <c r="F97" s="7" t="inlineStr">
        <is>
          <t>S1 (highest)</t>
        </is>
      </c>
      <c r="G97" s="17" t="inlineStr">
        <is>
          <t>High</t>
        </is>
      </c>
      <c r="H97" s="7" t="inlineStr">
        <is>
          <t>Security</t>
        </is>
      </c>
      <c r="I97" s="8" t="inlineStr">
        <is>
          <t>FR-08.3 rules; NFR Security</t>
        </is>
      </c>
      <c r="J97" s="8" t="inlineStr"/>
      <c r="K97" s="8" t="inlineStr"/>
      <c r="L97" s="8" t="inlineStr">
        <is>
          <t>FA logged in</t>
        </is>
      </c>
      <c r="M97" s="8" t="inlineStr">
        <is>
          <t>1. Send the profile update API with read-only fields added
2. Check Parent_Profile</t>
        </is>
      </c>
      <c r="N97" s="8" t="inlineStr">
        <is>
          <t>Payload adds FullName, Nric and ResidentialStreet values</t>
        </is>
      </c>
      <c r="O97" s="8" t="inlineStr">
        <is>
          <t>Request rejected or read-only fields ignored; FullName, Nric and residential fields unchanged</t>
        </is>
      </c>
      <c r="P97" s="15" t="inlineStr">
        <is>
          <t>Automated</t>
        </is>
      </c>
      <c r="Q97" s="8" t="inlineStr">
        <is>
          <t>tests/fs08/test_ts03_parent_profile.py::test_tc_r8_096_profile_edit_dirty_state_and_cancel_action</t>
        </is>
      </c>
    </row>
    <row r="98" ht="55" customHeight="1">
      <c r="A98" s="9" t="inlineStr">
        <is>
          <t>TC-R8-097</t>
        </is>
      </c>
      <c r="B98" s="9" t="inlineStr">
        <is>
          <t>TS-010</t>
        </is>
      </c>
      <c r="C98" s="10" t="inlineStr">
        <is>
          <t>My Details</t>
        </is>
      </c>
      <c r="D98" s="10" t="inlineStr">
        <is>
          <t>Verify saving valid phone, email and mailing address</t>
        </is>
      </c>
      <c r="E98" s="10" t="inlineStr">
        <is>
          <t>My details</t>
        </is>
      </c>
      <c r="F98" s="9" t="inlineStr">
        <is>
          <t>S1 (highest)</t>
        </is>
      </c>
      <c r="G98" s="16" t="inlineStr">
        <is>
          <t>Critical</t>
        </is>
      </c>
      <c r="H98" s="9" t="inlineStr">
        <is>
          <t>Functional</t>
        </is>
      </c>
      <c r="I98" s="10" t="inlineStr">
        <is>
          <t>FR-08.3; R8-AC14; US-08.2; PB-15</t>
        </is>
      </c>
      <c r="J98" s="10" t="inlineStr"/>
      <c r="K98" s="10" t="inlineStr"/>
      <c r="L98" s="10" t="inlineStr">
        <is>
          <t>FA logged in</t>
        </is>
      </c>
      <c r="M98" s="10" t="inlineStr">
        <is>
          <t>1. Enter the values
2. Click [Save]
3. Reload My details
4. Check the audit log and email outbox</t>
        </is>
      </c>
      <c r="N98" s="10" t="inlineStr">
        <is>
          <t>Phone 98887777; email fa.new@example.sg; mailing Blk 9, Verde Walk, #02-01, 650009, Singapore</t>
        </is>
      </c>
      <c r="O98" s="10" t="inlineStr">
        <is>
          <t>MSG-0807 'Your details have been updated.' is shown
Values persist after reload
Audit log has one entry per changed field (field, old, new, user, time)
No email is sent</t>
        </is>
      </c>
      <c r="P98" s="15" t="inlineStr">
        <is>
          <t>Automated</t>
        </is>
      </c>
      <c r="Q98" s="10" t="inlineStr">
        <is>
          <t>tests/fs08/test_ts03_parent_profile.py::test_tc_r8_097_profile_update_successful_with_confirm_dialog</t>
        </is>
      </c>
    </row>
    <row r="99" ht="55" customHeight="1">
      <c r="A99" s="7" t="inlineStr">
        <is>
          <t>TC-R8-098</t>
        </is>
      </c>
      <c r="B99" s="7" t="inlineStr">
        <is>
          <t>TS-010</t>
        </is>
      </c>
      <c r="C99" s="8" t="inlineStr">
        <is>
          <t>My Details</t>
        </is>
      </c>
      <c r="D99" s="8" t="inlineStr">
        <is>
          <t>Verify mobile numbers starting with 6, 8 and 9 are accepted</t>
        </is>
      </c>
      <c r="E99" s="8" t="inlineStr">
        <is>
          <t>My details</t>
        </is>
      </c>
      <c r="F99" s="7" t="inlineStr">
        <is>
          <t>S3</t>
        </is>
      </c>
      <c r="G99" s="14" t="inlineStr">
        <is>
          <t>Medium</t>
        </is>
      </c>
      <c r="H99" s="7" t="inlineStr">
        <is>
          <t>Functional</t>
        </is>
      </c>
      <c r="I99" s="8" t="inlineStr">
        <is>
          <t>FS R8 field table (Mobile) - equivalence partitioning</t>
        </is>
      </c>
      <c r="J99" s="8" t="inlineStr"/>
      <c r="K99" s="8" t="inlineStr"/>
      <c r="L99" s="8" t="inlineStr">
        <is>
          <t>FA logged in</t>
        </is>
      </c>
      <c r="M99" s="8" t="inlineStr">
        <is>
          <t>1. For each value, enter it and click [Save]</t>
        </is>
      </c>
      <c r="N99" s="8" t="inlineStr">
        <is>
          <t>61234567; 81234567; 91234567</t>
        </is>
      </c>
      <c r="O99" s="8" t="inlineStr">
        <is>
          <t>Each value is saved with MSG-0807</t>
        </is>
      </c>
      <c r="P99" s="7" t="inlineStr">
        <is>
          <t>Automation Candidate</t>
        </is>
      </c>
      <c r="Q99" s="8" t="inlineStr">
        <is>
          <t>Planned</t>
        </is>
      </c>
    </row>
    <row r="100" ht="55" customHeight="1">
      <c r="A100" s="9" t="inlineStr">
        <is>
          <t>TC-R8-099</t>
        </is>
      </c>
      <c r="B100" s="9" t="inlineStr">
        <is>
          <t>TS-010</t>
        </is>
      </c>
      <c r="C100" s="10" t="inlineStr">
        <is>
          <t>My Details</t>
        </is>
      </c>
      <c r="D100" s="10" t="inlineStr">
        <is>
          <t>Verify invalid mobile numbers are rejected with MSG-0805</t>
        </is>
      </c>
      <c r="E100" s="10" t="inlineStr">
        <is>
          <t>My details</t>
        </is>
      </c>
      <c r="F100" s="9" t="inlineStr">
        <is>
          <t>S2</t>
        </is>
      </c>
      <c r="G100" s="17" t="inlineStr">
        <is>
          <t>High</t>
        </is>
      </c>
      <c r="H100" s="9" t="inlineStr">
        <is>
          <t>Functional</t>
        </is>
      </c>
      <c r="I100" s="10" t="inlineStr">
        <is>
          <t>FR-08.3 errors; R8-AC15</t>
        </is>
      </c>
      <c r="J100" s="10" t="inlineStr"/>
      <c r="K100" s="10" t="inlineStr"/>
      <c r="L100" s="10" t="inlineStr">
        <is>
          <t>FA logged in</t>
        </is>
      </c>
      <c r="M100" s="10" t="inlineStr">
        <is>
          <t>1. For each value, enter it and click [Save]</t>
        </is>
      </c>
      <c r="N100" s="10" t="inlineStr">
        <is>
          <t>71234567 (starts 7); 51234567; 9123456 (7 digits); 912345678 (9 digits); 9123abcd; +6591234567</t>
        </is>
      </c>
      <c r="O100" s="10" t="inlineStr">
        <is>
          <t>MSG-0805 'Enter a mobile number in the correct format, like 9123 4567' is shown; nothing is saved</t>
        </is>
      </c>
      <c r="P100" s="15" t="inlineStr">
        <is>
          <t>Automated</t>
        </is>
      </c>
      <c r="Q100" s="10" t="inlineStr">
        <is>
          <t>tests/fs08/test_ts03_parent_profile.py::test_tc_r8_099_reject_invalid_singapore_mobile_number</t>
        </is>
      </c>
    </row>
    <row r="101" ht="55" customHeight="1">
      <c r="A101" s="7" t="inlineStr">
        <is>
          <t>TC-R8-100</t>
        </is>
      </c>
      <c r="B101" s="7" t="inlineStr">
        <is>
          <t>TS-010</t>
        </is>
      </c>
      <c r="C101" s="8" t="inlineStr">
        <is>
          <t>My Details</t>
        </is>
      </c>
      <c r="D101" s="8" t="inlineStr">
        <is>
          <t>Verify a mobile number entered with a space</t>
        </is>
      </c>
      <c r="E101" s="8" t="inlineStr">
        <is>
          <t>My details</t>
        </is>
      </c>
      <c r="F101" s="7" t="inlineStr">
        <is>
          <t>S4 (lowest)</t>
        </is>
      </c>
      <c r="G101" s="7" t="inlineStr">
        <is>
          <t>Low</t>
        </is>
      </c>
      <c r="H101" s="7" t="inlineStr">
        <is>
          <t>Functional</t>
        </is>
      </c>
      <c r="I101" s="8" t="inlineStr">
        <is>
          <t>FS R8 field table (example format)</t>
        </is>
      </c>
      <c r="J101" s="8" t="inlineStr">
        <is>
          <t>ASM-08: Mobile number entered with a space ('9123 4567') is accepted and stored without the space.</t>
        </is>
      </c>
      <c r="K101" s="8" t="inlineStr"/>
      <c r="L101" s="8" t="inlineStr">
        <is>
          <t>FA logged in</t>
        </is>
      </c>
      <c r="M101" s="8" t="inlineStr">
        <is>
          <t>1. Enter '9123 4567'
2. Click [Save]
3. Check the stored value</t>
        </is>
      </c>
      <c r="N101" s="8" t="inlineStr">
        <is>
          <t>9123 4567</t>
        </is>
      </c>
      <c r="O101" s="8" t="inlineStr">
        <is>
          <t>Saved with MSG-0807; stored as 91234567</t>
        </is>
      </c>
      <c r="P101" s="7" t="inlineStr">
        <is>
          <t>Automation Candidate</t>
        </is>
      </c>
      <c r="Q101" s="8" t="inlineStr">
        <is>
          <t>Planned</t>
        </is>
      </c>
    </row>
    <row r="102" ht="55" customHeight="1">
      <c r="A102" s="9" t="inlineStr">
        <is>
          <t>TC-R8-101</t>
        </is>
      </c>
      <c r="B102" s="9" t="inlineStr">
        <is>
          <t>TS-010</t>
        </is>
      </c>
      <c r="C102" s="10" t="inlineStr">
        <is>
          <t>My Details</t>
        </is>
      </c>
      <c r="D102" s="10" t="inlineStr">
        <is>
          <t>Verify invalid email formats are rejected with MSG-0806</t>
        </is>
      </c>
      <c r="E102" s="10" t="inlineStr">
        <is>
          <t>My details</t>
        </is>
      </c>
      <c r="F102" s="9" t="inlineStr">
        <is>
          <t>S2</t>
        </is>
      </c>
      <c r="G102" s="17" t="inlineStr">
        <is>
          <t>High</t>
        </is>
      </c>
      <c r="H102" s="9" t="inlineStr">
        <is>
          <t>Functional</t>
        </is>
      </c>
      <c r="I102" s="10" t="inlineStr">
        <is>
          <t>FR-08.3 errors; R8-AC15</t>
        </is>
      </c>
      <c r="J102" s="10" t="inlineStr"/>
      <c r="K102" s="10" t="inlineStr"/>
      <c r="L102" s="10" t="inlineStr">
        <is>
          <t>FA logged in</t>
        </is>
      </c>
      <c r="M102" s="10" t="inlineStr">
        <is>
          <t>1. For each value, enter it and click [Save]</t>
        </is>
      </c>
      <c r="N102" s="10" t="inlineStr">
        <is>
          <t>nameexample.com; name@; @example.com; name@example; name @example.com</t>
        </is>
      </c>
      <c r="O102" s="10" t="inlineStr">
        <is>
          <t>MSG-0806 'Enter an email address in the correct format, like name@example.com' is shown; nothing is saved</t>
        </is>
      </c>
      <c r="P102" s="15" t="inlineStr">
        <is>
          <t>Automated</t>
        </is>
      </c>
      <c r="Q102" s="10" t="inlineStr">
        <is>
          <t>tests/fs08/test_ts03_parent_profile.py::test_tc_r8_101_reject_invalid_email_format_msg0806</t>
        </is>
      </c>
    </row>
    <row r="103" ht="55" customHeight="1">
      <c r="A103" s="7" t="inlineStr">
        <is>
          <t>TC-R8-102</t>
        </is>
      </c>
      <c r="B103" s="7" t="inlineStr">
        <is>
          <t>TS-010</t>
        </is>
      </c>
      <c r="C103" s="8" t="inlineStr">
        <is>
          <t>My Details</t>
        </is>
      </c>
      <c r="D103" s="8" t="inlineStr">
        <is>
          <t>Verify email length limit of 150 characters</t>
        </is>
      </c>
      <c r="E103" s="8" t="inlineStr">
        <is>
          <t>My details</t>
        </is>
      </c>
      <c r="F103" s="7" t="inlineStr">
        <is>
          <t>S3</t>
        </is>
      </c>
      <c r="G103" s="14" t="inlineStr">
        <is>
          <t>Medium</t>
        </is>
      </c>
      <c r="H103" s="7" t="inlineStr">
        <is>
          <t>Functional</t>
        </is>
      </c>
      <c r="I103" s="8" t="inlineStr">
        <is>
          <t>FS R8 field table (Email max 150) - boundary</t>
        </is>
      </c>
      <c r="J103" s="8" t="inlineStr">
        <is>
          <t>ASM-09: No message code is defined for max-length / postal-code errors; assumed field-level validation blocks Save and shows an inline error.</t>
        </is>
      </c>
      <c r="K103" s="8" t="inlineStr"/>
      <c r="L103" s="8" t="inlineStr">
        <is>
          <t>FA logged in</t>
        </is>
      </c>
      <c r="M103" s="8" t="inlineStr">
        <is>
          <t>1. Enter the 150-char email, click [Save]
2. Enter the 151-char email, click [Save]</t>
        </is>
      </c>
      <c r="N103" s="8" t="inlineStr">
        <is>
          <t>Email of 150 chars (a x 138 + '@example.com'); email of 151 chars</t>
        </is>
      </c>
      <c r="O103" s="8" t="inlineStr">
        <is>
          <t>150 chars: saved with MSG-0807
151 chars: not saved; error shown</t>
        </is>
      </c>
      <c r="P103" s="7" t="inlineStr">
        <is>
          <t>Automation Candidate</t>
        </is>
      </c>
      <c r="Q103" s="8" t="inlineStr">
        <is>
          <t>Planned</t>
        </is>
      </c>
    </row>
    <row r="104" ht="55" customHeight="1">
      <c r="A104" s="9" t="inlineStr">
        <is>
          <t>TC-R8-103</t>
        </is>
      </c>
      <c r="B104" s="9" t="inlineStr">
        <is>
          <t>TS-010</t>
        </is>
      </c>
      <c r="C104" s="10" t="inlineStr">
        <is>
          <t>My Details</t>
        </is>
      </c>
      <c r="D104" s="10" t="inlineStr">
        <is>
          <t>Verify each blank required field shows MSG-0001</t>
        </is>
      </c>
      <c r="E104" s="10" t="inlineStr">
        <is>
          <t>My details</t>
        </is>
      </c>
      <c r="F104" s="9" t="inlineStr">
        <is>
          <t>S2</t>
        </is>
      </c>
      <c r="G104" s="17" t="inlineStr">
        <is>
          <t>High</t>
        </is>
      </c>
      <c r="H104" s="9" t="inlineStr">
        <is>
          <t>Functional</t>
        </is>
      </c>
      <c r="I104" s="10" t="inlineStr">
        <is>
          <t>FR-08.3 errors; R8-AC16</t>
        </is>
      </c>
      <c r="J104" s="10" t="inlineStr"/>
      <c r="K104" s="10" t="inlineStr"/>
      <c r="L104" s="10" t="inlineStr">
        <is>
          <t>FA logged in</t>
        </is>
      </c>
      <c r="M104" s="10" t="inlineStr">
        <is>
          <t>1. Clear all five required fields
2. Click [Save]</t>
        </is>
      </c>
      <c r="N104" s="10" t="inlineStr">
        <is>
          <t>Clear: Mobile number, Email, Mailing street, Mailing postal code, Mailing country</t>
        </is>
      </c>
      <c r="O104" s="10" t="inlineStr">
        <is>
          <t>MSG-0001 shown under each blank field (e.g. 'Enter your email'); nothing is saved</t>
        </is>
      </c>
      <c r="P104" s="9" t="inlineStr">
        <is>
          <t>Automation Candidate</t>
        </is>
      </c>
      <c r="Q104" s="10" t="inlineStr">
        <is>
          <t>Planned</t>
        </is>
      </c>
    </row>
    <row r="105" ht="55" customHeight="1">
      <c r="A105" s="7" t="inlineStr">
        <is>
          <t>TC-R8-104</t>
        </is>
      </c>
      <c r="B105" s="7" t="inlineStr">
        <is>
          <t>TS-010</t>
        </is>
      </c>
      <c r="C105" s="8" t="inlineStr">
        <is>
          <t>My Details</t>
        </is>
      </c>
      <c r="D105" s="8" t="inlineStr">
        <is>
          <t>Verify whitespace-only input is treated as blank</t>
        </is>
      </c>
      <c r="E105" s="8" t="inlineStr">
        <is>
          <t>My details</t>
        </is>
      </c>
      <c r="F105" s="7" t="inlineStr">
        <is>
          <t>S4 (lowest)</t>
        </is>
      </c>
      <c r="G105" s="7" t="inlineStr">
        <is>
          <t>Low</t>
        </is>
      </c>
      <c r="H105" s="7" t="inlineStr">
        <is>
          <t>Functional</t>
        </is>
      </c>
      <c r="I105" s="8" t="inlineStr">
        <is>
          <t>FR-08.3 errors</t>
        </is>
      </c>
      <c r="J105" s="8" t="inlineStr">
        <is>
          <t>ASM-15: Whitespace-only input in a required field is treated as blank.</t>
        </is>
      </c>
      <c r="K105" s="8" t="inlineStr"/>
      <c r="L105" s="8" t="inlineStr">
        <is>
          <t>FA logged in</t>
        </is>
      </c>
      <c r="M105" s="8" t="inlineStr">
        <is>
          <t>1. Enter spaces only in Mailing street
2. Click [Save]</t>
        </is>
      </c>
      <c r="N105" s="8" t="inlineStr">
        <is>
          <t>Mailing street = ' '</t>
        </is>
      </c>
      <c r="O105" s="8" t="inlineStr">
        <is>
          <t>MSG-0001 for Mailing street; nothing is saved</t>
        </is>
      </c>
      <c r="P105" s="7" t="inlineStr">
        <is>
          <t>Automation Candidate</t>
        </is>
      </c>
      <c r="Q105" s="8" t="inlineStr">
        <is>
          <t>Planned</t>
        </is>
      </c>
    </row>
    <row r="106" ht="55" customHeight="1">
      <c r="A106" s="9" t="inlineStr">
        <is>
          <t>TC-R8-105</t>
        </is>
      </c>
      <c r="B106" s="9" t="inlineStr">
        <is>
          <t>TS-010</t>
        </is>
      </c>
      <c r="C106" s="10" t="inlineStr">
        <is>
          <t>My Details</t>
        </is>
      </c>
      <c r="D106" s="10" t="inlineStr">
        <is>
          <t>Verify optional mailing block and unit can be left blank</t>
        </is>
      </c>
      <c r="E106" s="10" t="inlineStr">
        <is>
          <t>My details</t>
        </is>
      </c>
      <c r="F106" s="9" t="inlineStr">
        <is>
          <t>S4 (lowest)</t>
        </is>
      </c>
      <c r="G106" s="9" t="inlineStr">
        <is>
          <t>Low</t>
        </is>
      </c>
      <c r="H106" s="9" t="inlineStr">
        <is>
          <t>Functional</t>
        </is>
      </c>
      <c r="I106" s="10" t="inlineStr">
        <is>
          <t>FS R8 field table (block, unit optional)</t>
        </is>
      </c>
      <c r="J106" s="10" t="inlineStr"/>
      <c r="K106" s="10" t="inlineStr"/>
      <c r="L106" s="10" t="inlineStr">
        <is>
          <t>FA logged in</t>
        </is>
      </c>
      <c r="M106" s="10" t="inlineStr">
        <is>
          <t>1. Clear block and unit
2. Click [Save]</t>
        </is>
      </c>
      <c r="N106" s="10" t="inlineStr">
        <is>
          <t>Mailing block = blank; unit = blank; other fields valid</t>
        </is>
      </c>
      <c r="O106" s="10" t="inlineStr">
        <is>
          <t>Saved with MSG-0807</t>
        </is>
      </c>
      <c r="P106" s="9" t="inlineStr">
        <is>
          <t>Automation Candidate</t>
        </is>
      </c>
      <c r="Q106" s="10" t="inlineStr">
        <is>
          <t>Planned</t>
        </is>
      </c>
    </row>
    <row r="107" ht="55" customHeight="1">
      <c r="A107" s="7" t="inlineStr">
        <is>
          <t>TC-R8-106</t>
        </is>
      </c>
      <c r="B107" s="7" t="inlineStr">
        <is>
          <t>TS-010</t>
        </is>
      </c>
      <c r="C107" s="8" t="inlineStr">
        <is>
          <t>My Details</t>
        </is>
      </c>
      <c r="D107" s="8" t="inlineStr">
        <is>
          <t>Verify mailing block and unit length limit of 20 characters</t>
        </is>
      </c>
      <c r="E107" s="8" t="inlineStr">
        <is>
          <t>My details</t>
        </is>
      </c>
      <c r="F107" s="7" t="inlineStr">
        <is>
          <t>S4 (lowest)</t>
        </is>
      </c>
      <c r="G107" s="7" t="inlineStr">
        <is>
          <t>Low</t>
        </is>
      </c>
      <c r="H107" s="7" t="inlineStr">
        <is>
          <t>Functional</t>
        </is>
      </c>
      <c r="I107" s="8" t="inlineStr">
        <is>
          <t>FS R8 field table - boundary</t>
        </is>
      </c>
      <c r="J107" s="8" t="inlineStr">
        <is>
          <t>ASM-09: No message code is defined for max-length / postal-code errors; assumed field-level validation blocks Save and shows an inline error.</t>
        </is>
      </c>
      <c r="K107" s="8" t="inlineStr"/>
      <c r="L107" s="8" t="inlineStr">
        <is>
          <t>FA logged in</t>
        </is>
      </c>
      <c r="M107" s="8" t="inlineStr">
        <is>
          <t>1. Save with 20-char values
2. Save with 21-char values</t>
        </is>
      </c>
      <c r="N107" s="8" t="inlineStr">
        <is>
          <t>Block: 20 chars, then 21 chars; Unit: 20 chars, then 21 chars</t>
        </is>
      </c>
      <c r="O107" s="8" t="inlineStr">
        <is>
          <t>20 chars saved; 21 chars blocked with an error</t>
        </is>
      </c>
      <c r="P107" s="7" t="inlineStr">
        <is>
          <t>Automation Candidate</t>
        </is>
      </c>
      <c r="Q107" s="8" t="inlineStr">
        <is>
          <t>Planned</t>
        </is>
      </c>
    </row>
    <row r="108" ht="55" customHeight="1">
      <c r="A108" s="9" t="inlineStr">
        <is>
          <t>TC-R8-107</t>
        </is>
      </c>
      <c r="B108" s="9" t="inlineStr">
        <is>
          <t>TS-010</t>
        </is>
      </c>
      <c r="C108" s="10" t="inlineStr">
        <is>
          <t>My Details</t>
        </is>
      </c>
      <c r="D108" s="10" t="inlineStr">
        <is>
          <t>Verify mailing street and country length limit of 100 characters</t>
        </is>
      </c>
      <c r="E108" s="10" t="inlineStr">
        <is>
          <t>My details</t>
        </is>
      </c>
      <c r="F108" s="9" t="inlineStr">
        <is>
          <t>S4 (lowest)</t>
        </is>
      </c>
      <c r="G108" s="9" t="inlineStr">
        <is>
          <t>Low</t>
        </is>
      </c>
      <c r="H108" s="9" t="inlineStr">
        <is>
          <t>Functional</t>
        </is>
      </c>
      <c r="I108" s="10" t="inlineStr">
        <is>
          <t>FS R8 field table - boundary</t>
        </is>
      </c>
      <c r="J108" s="10" t="inlineStr">
        <is>
          <t>ASM-09: No message code is defined for max-length / postal-code errors; assumed field-level validation blocks Save and shows an inline error.</t>
        </is>
      </c>
      <c r="K108" s="10" t="inlineStr"/>
      <c r="L108" s="10" t="inlineStr">
        <is>
          <t>FA logged in</t>
        </is>
      </c>
      <c r="M108" s="10" t="inlineStr">
        <is>
          <t>1. Save with 100-char values
2. Save with 101-char values</t>
        </is>
      </c>
      <c r="N108" s="10" t="inlineStr">
        <is>
          <t>Street and country: 100 chars, then 101 chars</t>
        </is>
      </c>
      <c r="O108" s="10" t="inlineStr">
        <is>
          <t>100 chars saved; 101 chars blocked with an error</t>
        </is>
      </c>
      <c r="P108" s="9" t="inlineStr">
        <is>
          <t>Automation Candidate</t>
        </is>
      </c>
      <c r="Q108" s="10" t="inlineStr">
        <is>
          <t>Planned</t>
        </is>
      </c>
    </row>
    <row r="109" ht="55" customHeight="1">
      <c r="A109" s="7" t="inlineStr">
        <is>
          <t>TC-R8-108</t>
        </is>
      </c>
      <c r="B109" s="7" t="inlineStr">
        <is>
          <t>TS-010</t>
        </is>
      </c>
      <c r="C109" s="8" t="inlineStr">
        <is>
          <t>My Details</t>
        </is>
      </c>
      <c r="D109" s="8" t="inlineStr">
        <is>
          <t>Verify mailing postal code must be exactly 6 digits</t>
        </is>
      </c>
      <c r="E109" s="8" t="inlineStr">
        <is>
          <t>My details</t>
        </is>
      </c>
      <c r="F109" s="7" t="inlineStr">
        <is>
          <t>S3</t>
        </is>
      </c>
      <c r="G109" s="14" t="inlineStr">
        <is>
          <t>Medium</t>
        </is>
      </c>
      <c r="H109" s="7" t="inlineStr">
        <is>
          <t>Functional</t>
        </is>
      </c>
      <c r="I109" s="8" t="inlineStr">
        <is>
          <t>FS R8 field table (postal code)</t>
        </is>
      </c>
      <c r="J109" s="8" t="inlineStr">
        <is>
          <t>ASM-09: No message code is defined for max-length / postal-code errors; assumed field-level validation blocks Save and shows an inline error.</t>
        </is>
      </c>
      <c r="K109" s="8" t="inlineStr"/>
      <c r="L109" s="8" t="inlineStr">
        <is>
          <t>FA logged in</t>
        </is>
      </c>
      <c r="M109" s="8" t="inlineStr">
        <is>
          <t>1. For each value, enter it and click [Save]</t>
        </is>
      </c>
      <c r="N109" s="8" t="inlineStr">
        <is>
          <t>650009 (valid); 65000 (5 digits); 6500091 (7 digits); 65A009</t>
        </is>
      </c>
      <c r="O109" s="8" t="inlineStr">
        <is>
          <t>Only 650009 is saved; others are blocked with an error</t>
        </is>
      </c>
      <c r="P109" s="7" t="inlineStr">
        <is>
          <t>Automation Candidate</t>
        </is>
      </c>
      <c r="Q109" s="8" t="inlineStr">
        <is>
          <t>Planned</t>
        </is>
      </c>
    </row>
    <row r="110" ht="55" customHeight="1">
      <c r="A110" s="9" t="inlineStr">
        <is>
          <t>TC-R8-109</t>
        </is>
      </c>
      <c r="B110" s="9" t="inlineStr">
        <is>
          <t>TS-010</t>
        </is>
      </c>
      <c r="C110" s="10" t="inlineStr">
        <is>
          <t>My Details</t>
        </is>
      </c>
      <c r="D110" s="10" t="inlineStr">
        <is>
          <t>Verify a system error on save shows MSG-0808 and keeps the old data</t>
        </is>
      </c>
      <c r="E110" s="10" t="inlineStr">
        <is>
          <t>My details</t>
        </is>
      </c>
      <c r="F110" s="9" t="inlineStr">
        <is>
          <t>S2</t>
        </is>
      </c>
      <c r="G110" s="17" t="inlineStr">
        <is>
          <t>High</t>
        </is>
      </c>
      <c r="H110" s="9" t="inlineStr">
        <is>
          <t>Functional</t>
        </is>
      </c>
      <c r="I110" s="10" t="inlineStr">
        <is>
          <t>FR-08.3 errors; R8-AC17</t>
        </is>
      </c>
      <c r="J110" s="10" t="inlineStr"/>
      <c r="K110" s="10" t="inlineStr"/>
      <c r="L110" s="10" t="inlineStr">
        <is>
          <t>FA logged in; profile update API forced to fail (fault injection)</t>
        </is>
      </c>
      <c r="M110" s="10" t="inlineStr">
        <is>
          <t>1. Change phone to 98887777
2. Click [Save]
3. Reload My details</t>
        </is>
      </c>
      <c r="N110" s="10" t="inlineStr">
        <is>
          <t>Phone 98887777</t>
        </is>
      </c>
      <c r="O110" s="10" t="inlineStr">
        <is>
          <t>MSG-0808 'We could not update your details. Please try again.' is shown
Phone remains 91234567</t>
        </is>
      </c>
      <c r="P110" s="9" t="inlineStr">
        <is>
          <t>Automation Candidate</t>
        </is>
      </c>
      <c r="Q110" s="10" t="inlineStr">
        <is>
          <t>Planned</t>
        </is>
      </c>
    </row>
    <row r="111" ht="55" customHeight="1">
      <c r="A111" s="7" t="inlineStr">
        <is>
          <t>TC-R8-110</t>
        </is>
      </c>
      <c r="B111" s="7" t="inlineStr">
        <is>
          <t>TS-010</t>
        </is>
      </c>
      <c r="C111" s="8" t="inlineStr">
        <is>
          <t>My Details</t>
        </is>
      </c>
      <c r="D111" s="8" t="inlineStr">
        <is>
          <t>Verify My details is view-only when all children are 16+</t>
        </is>
      </c>
      <c r="E111" s="8" t="inlineStr">
        <is>
          <t>My details</t>
        </is>
      </c>
      <c r="F111" s="7" t="inlineStr">
        <is>
          <t>S2</t>
        </is>
      </c>
      <c r="G111" s="17" t="inlineStr">
        <is>
          <t>High</t>
        </is>
      </c>
      <c r="H111" s="7" t="inlineStr">
        <is>
          <t>Functional</t>
        </is>
      </c>
      <c r="I111" s="8" t="inlineStr">
        <is>
          <t>FR-08.3 precondition; R8-AC09</t>
        </is>
      </c>
      <c r="J111" s="8" t="inlineStr"/>
      <c r="K111" s="8" t="inlineStr"/>
      <c r="L111" s="8" t="inlineStr">
        <is>
          <t>Parent PE: all children aged 16+</t>
        </is>
      </c>
      <c r="M111" s="8" t="inlineStr">
        <is>
          <t>1. Log in as PE
2. Open My details
3. Call the profile update API</t>
        </is>
      </c>
      <c r="N111" s="8" t="inlineStr">
        <is>
          <t>Parent PE: S7000007G; children E1 age 16, E2 age 17</t>
        </is>
      </c>
      <c r="O111" s="8" t="inlineStr">
        <is>
          <t>All fields read-only; no [Save] button
API update is rejected</t>
        </is>
      </c>
      <c r="P111" s="7" t="inlineStr">
        <is>
          <t>Automation Candidate</t>
        </is>
      </c>
      <c r="Q111" s="8" t="inlineStr">
        <is>
          <t>Planned</t>
        </is>
      </c>
    </row>
    <row r="112" ht="55" customHeight="1">
      <c r="A112" s="9" t="inlineStr">
        <is>
          <t>TC-R8-111</t>
        </is>
      </c>
      <c r="B112" s="9" t="inlineStr">
        <is>
          <t>TS-010</t>
        </is>
      </c>
      <c r="C112" s="10" t="inlineStr">
        <is>
          <t>My Details</t>
        </is>
      </c>
      <c r="D112" s="10" t="inlineStr">
        <is>
          <t>Verify My details is editable when at least one child is under 16</t>
        </is>
      </c>
      <c r="E112" s="10" t="inlineStr">
        <is>
          <t>My details</t>
        </is>
      </c>
      <c r="F112" s="9" t="inlineStr">
        <is>
          <t>S3</t>
        </is>
      </c>
      <c r="G112" s="14" t="inlineStr">
        <is>
          <t>Medium</t>
        </is>
      </c>
      <c r="H112" s="9" t="inlineStr">
        <is>
          <t>Functional</t>
        </is>
      </c>
      <c r="I112" s="10" t="inlineStr">
        <is>
          <t>FR-08.3 precondition</t>
        </is>
      </c>
      <c r="J112" s="10" t="inlineStr"/>
      <c r="K112" s="10" t="inlineStr"/>
      <c r="L112" s="10" t="inlineStr">
        <is>
          <t>Parent PB: B1 age 16, B2 age 14</t>
        </is>
      </c>
      <c r="M112" s="10" t="inlineStr">
        <is>
          <t>1. Log in as PB
2. Open My details</t>
        </is>
      </c>
      <c r="N112" s="10" t="inlineStr">
        <is>
          <t>Parent PB</t>
        </is>
      </c>
      <c r="O112" s="10" t="inlineStr">
        <is>
          <t>Contact fields are editable and [Save] is shown</t>
        </is>
      </c>
      <c r="P112" s="9" t="inlineStr">
        <is>
          <t>Automation Candidate</t>
        </is>
      </c>
      <c r="Q112" s="10" t="inlineStr">
        <is>
          <t>Planned</t>
        </is>
      </c>
    </row>
    <row r="113" ht="55" customHeight="1">
      <c r="A113" s="7" t="inlineStr">
        <is>
          <t>TC-R8-112</t>
        </is>
      </c>
      <c r="B113" s="7" t="inlineStr">
        <is>
          <t>TS-010</t>
        </is>
      </c>
      <c r="C113" s="8" t="inlineStr">
        <is>
          <t>My Details</t>
        </is>
      </c>
      <c r="D113" s="8" t="inlineStr">
        <is>
          <t>Verify a parent cannot update another parent's profile via the API</t>
        </is>
      </c>
      <c r="E113" s="8" t="inlineStr">
        <is>
          <t>API</t>
        </is>
      </c>
      <c r="F113" s="7" t="inlineStr">
        <is>
          <t>S1 (highest)</t>
        </is>
      </c>
      <c r="G113" s="16" t="inlineStr">
        <is>
          <t>Critical</t>
        </is>
      </c>
      <c r="H113" s="7" t="inlineStr">
        <is>
          <t>Security</t>
        </is>
      </c>
      <c r="I113" s="8" t="inlineStr">
        <is>
          <t>FR-08.3 rules (own data only); NFR Security</t>
        </is>
      </c>
      <c r="J113" s="8" t="inlineStr"/>
      <c r="K113" s="8" t="inlineStr"/>
      <c r="L113" s="8" t="inlineStr">
        <is>
          <t>FA logged in; MA's Parent_Profile Id known</t>
        </is>
      </c>
      <c r="M113" s="8" t="inlineStr">
        <is>
          <t>1. Send the profile update API with MA's Id using FA's token
2. Check MA's profile</t>
        </is>
      </c>
      <c r="N113" s="8" t="inlineStr">
        <is>
          <t>Target: MA's profile Id</t>
        </is>
      </c>
      <c r="O113" s="8" t="inlineStr">
        <is>
          <t>Request rejected with MSG-0003 / 403; MA's profile unchanged</t>
        </is>
      </c>
      <c r="P113" s="7" t="inlineStr">
        <is>
          <t>Automation Candidate</t>
        </is>
      </c>
      <c r="Q113" s="8" t="inlineStr">
        <is>
          <t>Planned</t>
        </is>
      </c>
    </row>
    <row r="114" ht="55" customHeight="1">
      <c r="A114" s="9" t="inlineStr">
        <is>
          <t>TC-R8-113</t>
        </is>
      </c>
      <c r="B114" s="9" t="inlineStr">
        <is>
          <t>TS-010</t>
        </is>
      </c>
      <c r="C114" s="10" t="inlineStr">
        <is>
          <t>My Details</t>
        </is>
      </c>
      <c r="D114" s="10" t="inlineStr">
        <is>
          <t>Verify father's update does not change mother's details</t>
        </is>
      </c>
      <c r="E114" s="10" t="inlineStr">
        <is>
          <t>My details</t>
        </is>
      </c>
      <c r="F114" s="9" t="inlineStr">
        <is>
          <t>S2</t>
        </is>
      </c>
      <c r="G114" s="14" t="inlineStr">
        <is>
          <t>Medium</t>
        </is>
      </c>
      <c r="H114" s="9" t="inlineStr">
        <is>
          <t>Functional</t>
        </is>
      </c>
      <c r="I114" s="10" t="inlineStr">
        <is>
          <t>FR-08.3 rules</t>
        </is>
      </c>
      <c r="J114" s="10" t="inlineStr"/>
      <c r="K114" s="10" t="inlineStr"/>
      <c r="L114" s="10" t="inlineStr">
        <is>
          <t>FA and MA both logged in before</t>
        </is>
      </c>
      <c r="M114" s="10" t="inlineStr">
        <is>
          <t>1. FA saves a new phone
2. Log in as MA and open My details</t>
        </is>
      </c>
      <c r="N114" s="10" t="inlineStr">
        <is>
          <t>FA new phone 98887777</t>
        </is>
      </c>
      <c r="O114" s="10" t="inlineStr">
        <is>
          <t>MA's phone is unchanged</t>
        </is>
      </c>
      <c r="P114" s="9" t="inlineStr">
        <is>
          <t>Automation Candidate</t>
        </is>
      </c>
      <c r="Q114" s="10" t="inlineStr">
        <is>
          <t>Planned</t>
        </is>
      </c>
    </row>
    <row r="115" ht="55" customHeight="1">
      <c r="A115" s="7" t="inlineStr">
        <is>
          <t>TC-R8-114</t>
        </is>
      </c>
      <c r="B115" s="7" t="inlineStr">
        <is>
          <t>TS-010</t>
        </is>
      </c>
      <c r="C115" s="8" t="inlineStr">
        <is>
          <t>My Details</t>
        </is>
      </c>
      <c r="D115" s="8" t="inlineStr">
        <is>
          <t>Verify script input in mailing fields is not executed</t>
        </is>
      </c>
      <c r="E115" s="8" t="inlineStr">
        <is>
          <t>My details</t>
        </is>
      </c>
      <c r="F115" s="7" t="inlineStr">
        <is>
          <t>S2</t>
        </is>
      </c>
      <c r="G115" s="14" t="inlineStr">
        <is>
          <t>Medium</t>
        </is>
      </c>
      <c r="H115" s="7" t="inlineStr">
        <is>
          <t>Security</t>
        </is>
      </c>
      <c r="I115" s="8" t="inlineStr">
        <is>
          <t>NFR Security</t>
        </is>
      </c>
      <c r="J115" s="8" t="inlineStr"/>
      <c r="K115" s="8" t="inlineStr"/>
      <c r="L115" s="8" t="inlineStr">
        <is>
          <t>FA logged in</t>
        </is>
      </c>
      <c r="M115" s="8" t="inlineStr">
        <is>
          <t>1. Enter the value and click [Save]
2. Reload My details</t>
        </is>
      </c>
      <c r="N115" s="8" t="inlineStr">
        <is>
          <t>Mailing street: &lt;script&gt;alert(1)&lt;/script&gt;</t>
        </is>
      </c>
      <c r="O115" s="8" t="inlineStr">
        <is>
          <t>No script runs; text is shown as plain text or rejected</t>
        </is>
      </c>
      <c r="P115" s="7" t="inlineStr">
        <is>
          <t>Automation Candidate</t>
        </is>
      </c>
      <c r="Q115" s="8" t="inlineStr">
        <is>
          <t>Planned</t>
        </is>
      </c>
    </row>
    <row r="116" ht="55" customHeight="1">
      <c r="A116" s="9" t="inlineStr">
        <is>
          <t>TC-R8-115</t>
        </is>
      </c>
      <c r="B116" s="9" t="inlineStr">
        <is>
          <t>TS-011</t>
        </is>
      </c>
      <c r="C116" s="10" t="inlineStr">
        <is>
          <t>Authorization &amp; Data Protection</t>
        </is>
      </c>
      <c r="D116" s="10" t="inlineStr">
        <is>
          <t>Verify opening the Education Account of a child not linked to the parent</t>
        </is>
      </c>
      <c r="E116" s="10" t="inlineStr">
        <is>
          <t>Education Account</t>
        </is>
      </c>
      <c r="F116" s="9" t="inlineStr">
        <is>
          <t>S1 (highest)</t>
        </is>
      </c>
      <c r="G116" s="16" t="inlineStr">
        <is>
          <t>Critical</t>
        </is>
      </c>
      <c r="H116" s="9" t="inlineStr">
        <is>
          <t>Security</t>
        </is>
      </c>
      <c r="I116" s="10" t="inlineStr">
        <is>
          <t>FR-08.2 errors; NFR Security; R8-AC13; PB-07</t>
        </is>
      </c>
      <c r="J116" s="10" t="inlineStr"/>
      <c r="K116" s="10" t="inlineStr"/>
      <c r="L116" s="10" t="inlineStr">
        <is>
          <t>FA logged in; B2 belongs to PB</t>
        </is>
      </c>
      <c r="M116" s="10" t="inlineStr">
        <is>
          <t>1. Replace the child Id in the Education Account URL with B2's Id</t>
        </is>
      </c>
      <c r="N116" s="10" t="inlineStr">
        <is>
          <t>B2 student Id</t>
        </is>
      </c>
      <c r="O116" s="10" t="inlineStr">
        <is>
          <t>MSG-0003 'You do not have permission to perform this action.' is shown; no B2 data displayed</t>
        </is>
      </c>
      <c r="P116" s="15" t="inlineStr">
        <is>
          <t>Automated</t>
        </is>
      </c>
      <c r="Q116" s="10" t="inlineStr">
        <is>
          <t>tests/fs08/test_ts01_auth_and_session.py::test_tc_r8_115_security_no_full_nric_in_urls</t>
        </is>
      </c>
    </row>
    <row r="117" ht="55" customHeight="1">
      <c r="A117" s="7" t="inlineStr">
        <is>
          <t>TC-R8-116</t>
        </is>
      </c>
      <c r="B117" s="7" t="inlineStr">
        <is>
          <t>TS-011</t>
        </is>
      </c>
      <c r="C117" s="8" t="inlineStr">
        <is>
          <t>Authorization &amp; Data Protection</t>
        </is>
      </c>
      <c r="D117" s="8" t="inlineStr">
        <is>
          <t>Verify EA and transaction APIs block access to unlinked children</t>
        </is>
      </c>
      <c r="E117" s="8" t="inlineStr">
        <is>
          <t>API</t>
        </is>
      </c>
      <c r="F117" s="7" t="inlineStr">
        <is>
          <t>S1 (highest)</t>
        </is>
      </c>
      <c r="G117" s="16" t="inlineStr">
        <is>
          <t>Critical</t>
        </is>
      </c>
      <c r="H117" s="7" t="inlineStr">
        <is>
          <t>Security</t>
        </is>
      </c>
      <c r="I117" s="8" t="inlineStr">
        <is>
          <t>NFR Security (server-side checks); PB-07</t>
        </is>
      </c>
      <c r="J117" s="8" t="inlineStr"/>
      <c r="K117" s="8" t="inlineStr"/>
      <c r="L117" s="8" t="inlineStr">
        <is>
          <t>FA logged in</t>
        </is>
      </c>
      <c r="M117" s="8" t="inlineStr">
        <is>
          <t>1. Call EA details API for B2 with FA's token
2. Call transactions API for B2
3. Call Home children API</t>
        </is>
      </c>
      <c r="N117" s="8" t="inlineStr">
        <is>
          <t>B2 student Id and EA Id</t>
        </is>
      </c>
      <c r="O117" s="8" t="inlineStr">
        <is>
          <t>Calls 1-2 return 403 with no B2 data; call 3 returns only A1 and A2</t>
        </is>
      </c>
      <c r="P117" s="7" t="inlineStr">
        <is>
          <t>Automation Candidate</t>
        </is>
      </c>
      <c r="Q117" s="8" t="inlineStr">
        <is>
          <t>Planned</t>
        </is>
      </c>
    </row>
    <row r="118" ht="55" customHeight="1">
      <c r="A118" s="9" t="inlineStr">
        <is>
          <t>TC-R8-117</t>
        </is>
      </c>
      <c r="B118" s="9" t="inlineStr">
        <is>
          <t>TS-011</t>
        </is>
      </c>
      <c r="C118" s="10" t="inlineStr">
        <is>
          <t>Authorization &amp; Data Protection</t>
        </is>
      </c>
      <c r="D118" s="10" t="inlineStr">
        <is>
          <t>Verify the full NRIC never appears in URLs</t>
        </is>
      </c>
      <c r="E118" s="10" t="inlineStr">
        <is>
          <t>All pages</t>
        </is>
      </c>
      <c r="F118" s="9" t="inlineStr">
        <is>
          <t>S2</t>
        </is>
      </c>
      <c r="G118" s="17" t="inlineStr">
        <is>
          <t>High</t>
        </is>
      </c>
      <c r="H118" s="9" t="inlineStr">
        <is>
          <t>Security</t>
        </is>
      </c>
      <c r="I118" s="10" t="inlineStr">
        <is>
          <t>NFR Security</t>
        </is>
      </c>
      <c r="J118" s="10" t="inlineStr"/>
      <c r="K118" s="10" t="inlineStr"/>
      <c r="L118" s="10" t="inlineStr">
        <is>
          <t>FA logged in</t>
        </is>
      </c>
      <c r="M118" s="10" t="inlineStr">
        <is>
          <t>1. Go through Landing, SingPass callback, Home, Education Account, My details
2. Check address bar and DevTools Network request URLs</t>
        </is>
      </c>
      <c r="N118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18" s="10" t="inlineStr">
        <is>
          <t>No full NRIC in any URL or query string</t>
        </is>
      </c>
      <c r="P118" s="15" t="inlineStr">
        <is>
          <t>Automated</t>
        </is>
      </c>
      <c r="Q118" s="10" t="inlineStr">
        <is>
          <t>tests/fs08/test_ts03_parent_profile.py::test_tc_r8_117_profile_xss_sanitization_mailing_street</t>
        </is>
      </c>
    </row>
    <row r="119" ht="55" customHeight="1">
      <c r="A119" s="7" t="inlineStr">
        <is>
          <t>TC-R8-118</t>
        </is>
      </c>
      <c r="B119" s="7" t="inlineStr">
        <is>
          <t>TS-011</t>
        </is>
      </c>
      <c r="C119" s="8" t="inlineStr">
        <is>
          <t>Authorization &amp; Data Protection</t>
        </is>
      </c>
      <c r="D119" s="8" t="inlineStr">
        <is>
          <t>Verify application logs and error messages do not expose personal data</t>
        </is>
      </c>
      <c r="E119" s="8" t="inlineStr">
        <is>
          <t>Logs</t>
        </is>
      </c>
      <c r="F119" s="7" t="inlineStr">
        <is>
          <t>S2</t>
        </is>
      </c>
      <c r="G119" s="17" t="inlineStr">
        <is>
          <t>High</t>
        </is>
      </c>
      <c r="H119" s="7" t="inlineStr">
        <is>
          <t>Security</t>
        </is>
      </c>
      <c r="I119" s="8" t="inlineStr">
        <is>
          <t>Test plan 3.8 (safe logs); NFR Security</t>
        </is>
      </c>
      <c r="J119" s="8" t="inlineStr"/>
      <c r="K119" s="8" t="inlineStr"/>
      <c r="L119" s="8" t="inlineStr">
        <is>
          <t>Run login, EA view, filter and profile save; trigger one validation error and one MSG-0809</t>
        </is>
      </c>
      <c r="M119" s="8" t="inlineStr">
        <is>
          <t>1. Perform the actions
2. Review application logs and error responses</t>
        </is>
      </c>
      <c r="N119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19" s="8" t="inlineStr">
        <is>
          <t>No credentials, tokens, full NRIC, raw birth dates, contact details or balances in general logs or error bodies</t>
        </is>
      </c>
      <c r="P119" s="7" t="inlineStr">
        <is>
          <t>Automation Candidate</t>
        </is>
      </c>
      <c r="Q119" s="8" t="inlineStr">
        <is>
          <t>Planned</t>
        </is>
      </c>
    </row>
    <row r="120" ht="55" customHeight="1">
      <c r="A120" s="9" t="inlineStr">
        <is>
          <t>TC-R8-119</t>
        </is>
      </c>
      <c r="B120" s="9" t="inlineStr">
        <is>
          <t>TS-012</t>
        </is>
      </c>
      <c r="C120" s="10" t="inlineStr">
        <is>
          <t>Audit Log</t>
        </is>
      </c>
      <c r="D120" s="10" t="inlineStr">
        <is>
          <t>Verify a login is recorded in the audit log</t>
        </is>
      </c>
      <c r="E120" s="10" t="inlineStr">
        <is>
          <t>Audit log</t>
        </is>
      </c>
      <c r="F120" s="9" t="inlineStr">
        <is>
          <t>S2</t>
        </is>
      </c>
      <c r="G120" s="17" t="inlineStr">
        <is>
          <t>High</t>
        </is>
      </c>
      <c r="H120" s="9" t="inlineStr">
        <is>
          <t>Functional</t>
        </is>
      </c>
      <c r="I120" s="10" t="inlineStr">
        <is>
          <t>NFR Audit</t>
        </is>
      </c>
      <c r="J120" s="10" t="inlineStr"/>
      <c r="K120" s="10" t="inlineStr"/>
      <c r="L120" s="10" t="inlineStr">
        <is>
          <t>FA logs in</t>
        </is>
      </c>
      <c r="M120" s="10" t="inlineStr">
        <is>
          <t>1. Log in as FA
2. Query the audit log</t>
        </is>
      </c>
      <c r="N120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20" s="10" t="inlineStr">
        <is>
          <t>Entry for FA's login with user and timestamp</t>
        </is>
      </c>
      <c r="P120" s="9" t="inlineStr">
        <is>
          <t>Automation Candidate</t>
        </is>
      </c>
      <c r="Q120" s="10" t="inlineStr">
        <is>
          <t>Planned</t>
        </is>
      </c>
    </row>
    <row r="121" ht="55" customHeight="1">
      <c r="A121" s="7" t="inlineStr">
        <is>
          <t>TC-R8-120</t>
        </is>
      </c>
      <c r="B121" s="7" t="inlineStr">
        <is>
          <t>TS-012</t>
        </is>
      </c>
      <c r="C121" s="8" t="inlineStr">
        <is>
          <t>Audit Log</t>
        </is>
      </c>
      <c r="D121" s="8" t="inlineStr">
        <is>
          <t>Verify each data update from the API at login is audited</t>
        </is>
      </c>
      <c r="E121" s="8" t="inlineStr">
        <is>
          <t>Audit log</t>
        </is>
      </c>
      <c r="F121" s="7" t="inlineStr">
        <is>
          <t>S2</t>
        </is>
      </c>
      <c r="G121" s="17" t="inlineStr">
        <is>
          <t>High</t>
        </is>
      </c>
      <c r="H121" s="7" t="inlineStr">
        <is>
          <t>Functional</t>
        </is>
      </c>
      <c r="I121" s="8" t="inlineStr">
        <is>
          <t>FR-08.1 rules; NFR Audit</t>
        </is>
      </c>
      <c r="J121" s="8" t="inlineStr">
        <is>
          <t>ASM-01: FS R8 FR-08.1 refreshes child name, school, class, DOB, citizenship at each login. FS R1 v1.2 (sec. 3) says R8 only verifies the parent-student relationship and does not run a full student sync; the Government dataset has no school/class. Test follows FS R8; confirm with BA.</t>
        </is>
      </c>
      <c r="K121" s="8" t="inlineStr"/>
      <c r="L121" s="8" t="inlineStr">
        <is>
          <t>Data API has a new residential address for FA and a new class for A1</t>
        </is>
      </c>
      <c r="M121" s="8" t="inlineStr">
        <is>
          <t>1. Log in as FA
2. Query the audit log</t>
        </is>
      </c>
      <c r="N121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21" s="8" t="inlineStr">
        <is>
          <t>Entries for each updated field: field, old value, new value, updated by, time</t>
        </is>
      </c>
      <c r="P121" s="7" t="inlineStr">
        <is>
          <t>Automation Candidate</t>
        </is>
      </c>
      <c r="Q121" s="8" t="inlineStr">
        <is>
          <t>Planned</t>
        </is>
      </c>
    </row>
    <row r="122" ht="55" customHeight="1">
      <c r="A122" s="9" t="inlineStr">
        <is>
          <t>TC-R8-121</t>
        </is>
      </c>
      <c r="B122" s="9" t="inlineStr">
        <is>
          <t>TS-012</t>
        </is>
      </c>
      <c r="C122" s="10" t="inlineStr">
        <is>
          <t>Audit Log</t>
        </is>
      </c>
      <c r="D122" s="10" t="inlineStr">
        <is>
          <t>Verify a My details change is audited with old and new values</t>
        </is>
      </c>
      <c r="E122" s="10" t="inlineStr">
        <is>
          <t>Audit log</t>
        </is>
      </c>
      <c r="F122" s="9" t="inlineStr">
        <is>
          <t>S2</t>
        </is>
      </c>
      <c r="G122" s="17" t="inlineStr">
        <is>
          <t>High</t>
        </is>
      </c>
      <c r="H122" s="9" t="inlineStr">
        <is>
          <t>Functional</t>
        </is>
      </c>
      <c r="I122" s="10" t="inlineStr">
        <is>
          <t>FR-08.3; FS R8 Appendix A; NFR Audit; R8-AC14</t>
        </is>
      </c>
      <c r="J122" s="10" t="inlineStr"/>
      <c r="K122" s="10" t="inlineStr"/>
      <c r="L122" s="10" t="inlineStr">
        <is>
          <t>FA changes phone 91234567 -&gt; 98887777</t>
        </is>
      </c>
      <c r="M122" s="10" t="inlineStr">
        <is>
          <t>1. Save the new phone
2. Query the audit log</t>
        </is>
      </c>
      <c r="N122" s="10" t="inlineStr">
        <is>
          <t>Phone 98887777</t>
        </is>
      </c>
      <c r="O122" s="10" t="inlineStr">
        <is>
          <t>Entry: field PhoneNumber, old 91234567, new 98887777, user FA, time of save</t>
        </is>
      </c>
      <c r="P122" s="9" t="inlineStr">
        <is>
          <t>Automation Candidate</t>
        </is>
      </c>
      <c r="Q122" s="10" t="inlineStr">
        <is>
          <t>Planned</t>
        </is>
      </c>
    </row>
    <row r="123" ht="55" customHeight="1">
      <c r="A123" s="7" t="inlineStr">
        <is>
          <t>TC-R8-122</t>
        </is>
      </c>
      <c r="B123" s="7" t="inlineStr">
        <is>
          <t>TS-013</t>
        </is>
      </c>
      <c r="C123" s="8" t="inlineStr">
        <is>
          <t>Non-functional</t>
        </is>
      </c>
      <c r="D123" s="8" t="inlineStr">
        <is>
          <t>Verify Home loads within 3 seconds with 1,000 transactions</t>
        </is>
      </c>
      <c r="E123" s="8" t="inlineStr">
        <is>
          <t>Home</t>
        </is>
      </c>
      <c r="F123" s="7" t="inlineStr">
        <is>
          <t>S2</t>
        </is>
      </c>
      <c r="G123" s="14" t="inlineStr">
        <is>
          <t>Medium</t>
        </is>
      </c>
      <c r="H123" s="7" t="inlineStr">
        <is>
          <t>Performance</t>
        </is>
      </c>
      <c r="I123" s="8" t="inlineStr">
        <is>
          <t>NFR Performance</t>
        </is>
      </c>
      <c r="J123" s="8" t="inlineStr"/>
      <c r="K123" s="8" t="inlineStr"/>
      <c r="L123" s="8" t="inlineStr">
        <is>
          <t>A5 has 1,000 transactions; cache cleared</t>
        </is>
      </c>
      <c r="M123" s="8" t="inlineStr">
        <is>
          <t>1. Log in as A5's parent
2. Measure Home load time (DevTools) 5 times</t>
        </is>
      </c>
      <c r="N123" s="8" t="inlineStr">
        <is>
          <t>1,000 seeded transactions</t>
        </is>
      </c>
      <c r="O123" s="8" t="inlineStr">
        <is>
          <t>Each load completes under 3 seconds</t>
        </is>
      </c>
      <c r="P123" s="7" t="inlineStr">
        <is>
          <t>Automation Candidate</t>
        </is>
      </c>
      <c r="Q123" s="8" t="inlineStr">
        <is>
          <t>Planned</t>
        </is>
      </c>
    </row>
    <row r="124" ht="55" customHeight="1">
      <c r="A124" s="9" t="inlineStr">
        <is>
          <t>TC-R8-123</t>
        </is>
      </c>
      <c r="B124" s="9" t="inlineStr">
        <is>
          <t>TS-013</t>
        </is>
      </c>
      <c r="C124" s="10" t="inlineStr">
        <is>
          <t>Non-functional</t>
        </is>
      </c>
      <c r="D124" s="10" t="inlineStr">
        <is>
          <t>Verify Education Account loads within 3 seconds with 1,000 transactions</t>
        </is>
      </c>
      <c r="E124" s="10" t="inlineStr">
        <is>
          <t>Education Account</t>
        </is>
      </c>
      <c r="F124" s="9" t="inlineStr">
        <is>
          <t>S2</t>
        </is>
      </c>
      <c r="G124" s="14" t="inlineStr">
        <is>
          <t>Medium</t>
        </is>
      </c>
      <c r="H124" s="9" t="inlineStr">
        <is>
          <t>Performance</t>
        </is>
      </c>
      <c r="I124" s="10" t="inlineStr">
        <is>
          <t>NFR Performance</t>
        </is>
      </c>
      <c r="J124" s="10" t="inlineStr"/>
      <c r="K124" s="10" t="inlineStr"/>
      <c r="L124" s="10" t="inlineStr">
        <is>
          <t>A5 has 1,000 transactions</t>
        </is>
      </c>
      <c r="M124" s="10" t="inlineStr">
        <is>
          <t>1. Open A5's Education Account
2. Measure load time 5 times</t>
        </is>
      </c>
      <c r="N124" s="10" t="inlineStr">
        <is>
          <t>1,000 seeded transactions</t>
        </is>
      </c>
      <c r="O124" s="10" t="inlineStr">
        <is>
          <t>Each load completes under 3 seconds (first page of 20 rows)</t>
        </is>
      </c>
      <c r="P124" s="9" t="inlineStr">
        <is>
          <t>Automation Candidate</t>
        </is>
      </c>
      <c r="Q124" s="10" t="inlineStr">
        <is>
          <t>Planned</t>
        </is>
      </c>
    </row>
    <row r="125" ht="55" customHeight="1">
      <c r="A125" s="7" t="inlineStr">
        <is>
          <t>TC-R8-124</t>
        </is>
      </c>
      <c r="B125" s="7" t="inlineStr">
        <is>
          <t>TS-013</t>
        </is>
      </c>
      <c r="C125" s="8" t="inlineStr">
        <is>
          <t>Non-functional</t>
        </is>
      </c>
      <c r="D125" s="8" t="inlineStr">
        <is>
          <t>Verify Home, Education Account and My details are usable on a phone</t>
        </is>
      </c>
      <c r="E125" s="8" t="inlineStr">
        <is>
          <t>Home / Education Account / My details</t>
        </is>
      </c>
      <c r="F125" s="7" t="inlineStr">
        <is>
          <t>S3</t>
        </is>
      </c>
      <c r="G125" s="14" t="inlineStr">
        <is>
          <t>Medium</t>
        </is>
      </c>
      <c r="H125" s="7" t="inlineStr">
        <is>
          <t>UI</t>
        </is>
      </c>
      <c r="I125" s="8" t="inlineStr">
        <is>
          <t>NFR Display</t>
        </is>
      </c>
      <c r="J125" s="8" t="inlineStr"/>
      <c r="K125" s="8" t="inlineStr"/>
      <c r="L125" s="8" t="inlineStr">
        <is>
          <t>FA logged in on a phone</t>
        </is>
      </c>
      <c r="M125" s="8" t="inlineStr">
        <is>
          <t>1. Open Home, Education Account and My details
2. Use filters, pagination and Save</t>
        </is>
      </c>
      <c r="N125" s="8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25" s="8" t="inlineStr">
        <is>
          <t>No horizontal page scroll; all content and buttons reachable and readable</t>
        </is>
      </c>
      <c r="P125" s="7" t="inlineStr">
        <is>
          <t>Automation Candidate</t>
        </is>
      </c>
      <c r="Q125" s="8" t="inlineStr">
        <is>
          <t>Planned</t>
        </is>
      </c>
    </row>
    <row r="126" ht="55" customHeight="1">
      <c r="A126" s="9" t="inlineStr">
        <is>
          <t>TC-R8-125</t>
        </is>
      </c>
      <c r="B126" s="9" t="inlineStr">
        <is>
          <t>TS-013</t>
        </is>
      </c>
      <c r="C126" s="10" t="inlineStr">
        <is>
          <t>Non-functional</t>
        </is>
      </c>
      <c r="D126" s="10" t="inlineStr">
        <is>
          <t>Verify interface language and display formats</t>
        </is>
      </c>
      <c r="E126" s="10" t="inlineStr">
        <is>
          <t>All pages</t>
        </is>
      </c>
      <c r="F126" s="9" t="inlineStr">
        <is>
          <t>S4 (lowest)</t>
        </is>
      </c>
      <c r="G126" s="9" t="inlineStr">
        <is>
          <t>Low</t>
        </is>
      </c>
      <c r="H126" s="9" t="inlineStr">
        <is>
          <t>UI</t>
        </is>
      </c>
      <c r="I126" s="10" t="inlineStr">
        <is>
          <t>NFR Display; FR-08.2 rules</t>
        </is>
      </c>
      <c r="J126" s="10" t="inlineStr"/>
      <c r="K126" s="10" t="inlineStr"/>
      <c r="L126" s="10" t="inlineStr">
        <is>
          <t>FA logged in</t>
        </is>
      </c>
      <c r="M126" s="10" t="inlineStr">
        <is>
          <t>1. Review all R8 pages</t>
        </is>
      </c>
      <c r="N126" s="10" t="inlineStr">
        <is>
          <t>Father FA: NRIC S7000001A, Tan Wei Ming
Mother MA: NRIC S7000002B, Lim Mei Ling
Child A1: Tan Jia Hui, citizen, age 12, EA Active, balance S$250.00, BVP / P6 Integrity
Child A2: Tan Jun Kai, citizen, age 9, EA Active, balance S$80.00, BVP / P3 Harmony</t>
        </is>
      </c>
      <c r="O126" s="10" t="inlineStr">
        <is>
          <t>Text in English; amounts in SGD; dates DD/MM/YYYY; Last updated DD/MM/YYYY HH:mm</t>
        </is>
      </c>
      <c r="P126" s="9" t="inlineStr">
        <is>
          <t>Automation Candidate</t>
        </is>
      </c>
      <c r="Q126" s="10" t="inlineStr">
        <is>
          <t>Planned</t>
        </is>
      </c>
    </row>
    <row r="127" ht="55" customHeight="1">
      <c r="A127" s="7" t="inlineStr">
        <is>
          <t>TC-R8-BRK-001</t>
        </is>
      </c>
      <c r="B127" s="7" t="inlineStr">
        <is>
          <t>TS-BRK</t>
        </is>
      </c>
      <c r="C127" s="8" t="inlineStr">
        <is>
          <t>Adversarial Testing</t>
        </is>
      </c>
      <c r="D127" s="8" t="inlineStr">
        <is>
          <t>Client Constraint Bypass — Strip HTML5 constraints &amp; force malformed email</t>
        </is>
      </c>
      <c r="E127" s="8" t="inlineStr">
        <is>
          <t>Parent Portal - My Details</t>
        </is>
      </c>
      <c r="F127" s="7" t="inlineStr">
        <is>
          <t>S1 (highest)</t>
        </is>
      </c>
      <c r="G127" s="16" t="inlineStr">
        <is>
          <t>P0</t>
        </is>
      </c>
      <c r="H127" s="7" t="inlineStr">
        <is>
          <t>Adversarial / Security</t>
        </is>
      </c>
      <c r="I127" s="8" t="inlineStr">
        <is>
          <t>Invariant 8; BR-08-05; AC #15</t>
        </is>
      </c>
      <c r="J127" s="8" t="inlineStr">
        <is>
          <t>Invariant 8</t>
        </is>
      </c>
      <c r="K127" s="8" t="inlineStr"/>
      <c r="L127" s="8" t="inlineStr">
        <is>
          <t>Parent logged in; on /profile Edit Mode</t>
        </is>
      </c>
      <c r="M127" s="8" t="inlineStr">
        <is>
          <t>1. Strip novalidate, required, pattern
2. Force invalid email via React prototype setter
3. Click Save changes &amp; confirm modal</t>
        </is>
      </c>
      <c r="N127" s="8" t="inlineStr">
        <is>
          <t>email='completely-not-an-email'</t>
        </is>
      </c>
      <c r="O127" s="8" t="inlineStr">
        <is>
          <t>Server rejects invalid email; no success toast; DB unchanged; Test passes when server rejects</t>
        </is>
      </c>
      <c r="P127" s="15" t="inlineStr">
        <is>
          <t>Automated</t>
        </is>
      </c>
      <c r="Q127" s="8" t="inlineStr">
        <is>
          <t>tests/fs08/test_ts04_break_it_resilience.py::test_tc_r8_brk_001_client_bypass_force_invalid_email_profile_update</t>
        </is>
      </c>
    </row>
    <row r="128" ht="55" customHeight="1">
      <c r="A128" s="9" t="inlineStr">
        <is>
          <t>TC-R8-BRK-002</t>
        </is>
      </c>
      <c r="B128" s="9" t="inlineStr">
        <is>
          <t>TS-BRK</t>
        </is>
      </c>
      <c r="C128" s="10" t="inlineStr">
        <is>
          <t>Adversarial Testing</t>
        </is>
      </c>
      <c r="D128" s="10" t="inlineStr">
        <is>
          <t>Identity Tampering — Modify Read-Only SingPass fields in DOM</t>
        </is>
      </c>
      <c r="E128" s="10" t="inlineStr">
        <is>
          <t>Parent Portal - My Details</t>
        </is>
      </c>
      <c r="F128" s="9" t="inlineStr">
        <is>
          <t>S1 (highest)</t>
        </is>
      </c>
      <c r="G128" s="16" t="inlineStr">
        <is>
          <t>P0</t>
        </is>
      </c>
      <c r="H128" s="9" t="inlineStr">
        <is>
          <t>Adversarial / Security</t>
        </is>
      </c>
      <c r="I128" s="10" t="inlineStr">
        <is>
          <t>D-20; BR-08-05.2; AC #18</t>
        </is>
      </c>
      <c r="J128" s="10" t="inlineStr">
        <is>
          <t>Quyết định D-20</t>
        </is>
      </c>
      <c r="K128" s="10" t="inlineStr"/>
      <c r="L128" s="10" t="inlineStr">
        <is>
          <t>Parent logged in; on /profile Edit Mode</t>
        </is>
      </c>
      <c r="M128" s="10" t="inlineStr">
        <is>
          <t>1. Inject artificial input or remove readonly
2. Dispatch change &amp; trigger submit
3. Reload page</t>
        </is>
      </c>
      <c r="N128" s="10" t="inlineStr">
        <is>
          <t>hackedName='HACKED SINGPASS USER'</t>
        </is>
      </c>
      <c r="O128" s="10" t="inlineStr">
        <is>
          <t>SingPass Full Name and NRIC remain unchanged; DB intact</t>
        </is>
      </c>
      <c r="P128" s="15" t="inlineStr">
        <is>
          <t>Automated</t>
        </is>
      </c>
      <c r="Q128" s="10" t="inlineStr">
        <is>
          <t>tests/fs08/test_ts04_break_it_resilience.py::test_tc_r8_brk_002_tamper_readonly_singpass_identity_in_dom</t>
        </is>
      </c>
    </row>
    <row r="129" ht="55" customHeight="1">
      <c r="A129" s="7" t="inlineStr">
        <is>
          <t>TC-R8-BRK-003</t>
        </is>
      </c>
      <c r="B129" s="7" t="inlineStr">
        <is>
          <t>TS-BRK</t>
        </is>
      </c>
      <c r="C129" s="8" t="inlineStr">
        <is>
          <t>Adversarial Testing</t>
        </is>
      </c>
      <c r="D129" s="8" t="inlineStr">
        <is>
          <t>Hostile XSS Payloads in Mailing Address Inputs (3 Vectors)</t>
        </is>
      </c>
      <c r="E129" s="8" t="inlineStr">
        <is>
          <t>Parent Portal - My Details</t>
        </is>
      </c>
      <c r="F129" s="7" t="inlineStr">
        <is>
          <t>S1 (highest)</t>
        </is>
      </c>
      <c r="G129" s="16" t="inlineStr">
        <is>
          <t>P0</t>
        </is>
      </c>
      <c r="H129" s="7" t="inlineStr">
        <is>
          <t>Security / XSS</t>
        </is>
      </c>
      <c r="I129" s="8" t="inlineStr">
        <is>
          <t>BR-08-05.9; Invariant 7 (Console Errors)</t>
        </is>
      </c>
      <c r="J129" s="8" t="inlineStr">
        <is>
          <t>Invariant 8</t>
        </is>
      </c>
      <c r="K129" s="8" t="inlineStr"/>
      <c r="L129" s="8" t="inlineStr">
        <is>
          <t>Parent logged in; on /profile Edit Mode</t>
        </is>
      </c>
      <c r="M129" s="8" t="inlineStr">
        <is>
          <t>1. Inject XSS payloads into Mailing Street/Unit
2. Save changes
3. Observe rendered DOM and dialog events</t>
        </is>
      </c>
      <c r="N129" s="8" t="inlineStr">
        <is>
          <t>&lt;script&gt;alert('XSS')&lt;/script&gt;, &lt;img src=x onerror=alert(1)&gt;, "&gt;&lt;svg onload=alert(document.cookie)&gt;</t>
        </is>
      </c>
      <c r="O129" s="8" t="inlineStr">
        <is>
          <t>Payloads HTML-encoded; zero alert dialogs triggered; zero uncaught console JS errors</t>
        </is>
      </c>
      <c r="P129" s="15" t="inlineStr">
        <is>
          <t>Automated</t>
        </is>
      </c>
      <c r="Q129" s="8" t="inlineStr">
        <is>
          <t>tests/fs08/test_ts04_break_it_resilience.py::test_tc_r8_brk_003_hostile_xss_injections_in_mailing_inputs</t>
        </is>
      </c>
    </row>
    <row r="130" ht="55" customHeight="1">
      <c r="A130" s="9" t="inlineStr">
        <is>
          <t>TC-R8-BRK-004</t>
        </is>
      </c>
      <c r="B130" s="9" t="inlineStr">
        <is>
          <t>TS-BRK</t>
        </is>
      </c>
      <c r="C130" s="10" t="inlineStr">
        <is>
          <t>Adversarial Testing</t>
        </is>
      </c>
      <c r="D130" s="10" t="inlineStr">
        <is>
          <t>Extreme Boundary String Length in Mailing Street (10,000 Chars)</t>
        </is>
      </c>
      <c r="E130" s="10" t="inlineStr">
        <is>
          <t>Parent Portal - My Details</t>
        </is>
      </c>
      <c r="F130" s="9" t="inlineStr">
        <is>
          <t>S2</t>
        </is>
      </c>
      <c r="G130" s="17" t="inlineStr">
        <is>
          <t>P1</t>
        </is>
      </c>
      <c r="H130" s="9" t="inlineStr">
        <is>
          <t>Adversarial / Boundary</t>
        </is>
      </c>
      <c r="I130" s="10" t="inlineStr">
        <is>
          <t>BR-08-05.3; Table 119</t>
        </is>
      </c>
      <c r="J130" s="10" t="inlineStr">
        <is>
          <t>Invariant 8</t>
        </is>
      </c>
      <c r="K130" s="10" t="inlineStr"/>
      <c r="L130" s="10" t="inlineStr">
        <is>
          <t>Parent logged in; on /profile Edit Mode</t>
        </is>
      </c>
      <c r="M130" s="10" t="inlineStr">
        <is>
          <t>1. Force 10,000 characters into Mailing Street
2. Attempt submit</t>
        </is>
      </c>
      <c r="N130" s="10" t="inlineStr">
        <is>
          <t>'A' * 10000</t>
        </is>
      </c>
      <c r="O130" s="10" t="inlineStr">
        <is>
          <t>Browser and server remain responsive; input truncated to 100 chars or rejected with HTTP 400</t>
        </is>
      </c>
      <c r="P130" s="15" t="inlineStr">
        <is>
          <t>Automated</t>
        </is>
      </c>
      <c r="Q130" s="10" t="inlineStr">
        <is>
          <t>tests/fs08/test_ts04_break_it_resilience.py::test_tc_r8_brk_004_extreme_boundary_string_length_in_mailing_street</t>
        </is>
      </c>
    </row>
    <row r="131" ht="55" customHeight="1">
      <c r="A131" s="7" t="inlineStr">
        <is>
          <t>TC-R8-BRK-005</t>
        </is>
      </c>
      <c r="B131" s="7" t="inlineStr">
        <is>
          <t>TS-BRK</t>
        </is>
      </c>
      <c r="C131" s="8" t="inlineStr">
        <is>
          <t>Adversarial Testing</t>
        </is>
      </c>
      <c r="D131" s="8" t="inlineStr">
        <is>
          <t>Confirm Dialog Rapid Double-Click Debounce</t>
        </is>
      </c>
      <c r="E131" s="8" t="inlineStr">
        <is>
          <t>Parent Portal - My Details</t>
        </is>
      </c>
      <c r="F131" s="7" t="inlineStr">
        <is>
          <t>S1 (highest)</t>
        </is>
      </c>
      <c r="G131" s="16" t="inlineStr">
        <is>
          <t>P0</t>
        </is>
      </c>
      <c r="H131" s="7" t="inlineStr">
        <is>
          <t>Concurrency / Debounce</t>
        </is>
      </c>
      <c r="I131" s="8" t="inlineStr">
        <is>
          <t>Invariant 8 (Timing Chaos)</t>
        </is>
      </c>
      <c r="J131" s="8" t="inlineStr">
        <is>
          <t>Invariant 8</t>
        </is>
      </c>
      <c r="K131" s="8" t="inlineStr"/>
      <c r="L131" s="8" t="inlineStr">
        <is>
          <t>Confirm Dialog is open with pending changes</t>
        </is>
      </c>
      <c r="M131" s="8" t="inlineStr">
        <is>
          <t>1. Fire rapid successive clicks on Save changes button
2. Track outgoing network requests</t>
        </is>
      </c>
      <c r="N131" s="8" t="inlineStr">
        <is>
          <t>Double-click event on 'Save changes' button</t>
        </is>
      </c>
      <c r="O131" s="8" t="inlineStr">
        <is>
          <t>Button disabled immediately; exactly 1 HTTP mutation request dispatched; no duplicate charge/mutation</t>
        </is>
      </c>
      <c r="P131" s="15" t="inlineStr">
        <is>
          <t>Automated</t>
        </is>
      </c>
      <c r="Q131" s="8" t="inlineStr">
        <is>
          <t>tests/fs08/test_ts04_break_it_resilience.py::test_tc_r8_brk_005_confirm_dialog_rapid_double_click_debounce</t>
        </is>
      </c>
    </row>
    <row r="132" ht="55" customHeight="1">
      <c r="A132" s="9" t="inlineStr">
        <is>
          <t>TC-R8-BRK-006</t>
        </is>
      </c>
      <c r="B132" s="9" t="inlineStr">
        <is>
          <t>TS-BRK</t>
        </is>
      </c>
      <c r="C132" s="10" t="inlineStr">
        <is>
          <t>Adversarial Testing</t>
        </is>
      </c>
      <c r="D132" s="10" t="inlineStr">
        <is>
          <t>Backend Server 500 Resilience on Profile Save</t>
        </is>
      </c>
      <c r="E132" s="10" t="inlineStr">
        <is>
          <t>Parent Portal - My Details</t>
        </is>
      </c>
      <c r="F132" s="9" t="inlineStr">
        <is>
          <t>S2</t>
        </is>
      </c>
      <c r="G132" s="17" t="inlineStr">
        <is>
          <t>P1</t>
        </is>
      </c>
      <c r="H132" s="9" t="inlineStr">
        <is>
          <t>Resilience / Fault Injection</t>
        </is>
      </c>
      <c r="I132" s="10" t="inlineStr">
        <is>
          <t>BR-08-05.7; MSG-0808; AC #17</t>
        </is>
      </c>
      <c r="J132" s="10" t="inlineStr">
        <is>
          <t>BR-08-05.7</t>
        </is>
      </c>
      <c r="K132" s="10" t="inlineStr"/>
      <c r="L132" s="10" t="inlineStr">
        <is>
          <t>Parent on Edit Mode; API mock configured for HTTP 500</t>
        </is>
      </c>
      <c r="M132" s="10" t="inlineStr">
        <is>
          <t>1. Enter valid data
2. Submit changes
3. Receive HTTP 500</t>
        </is>
      </c>
      <c r="N132" s="10" t="inlineStr">
        <is>
          <t>HTTP 500 Internal Server Error mock response</t>
        </is>
      </c>
      <c r="O132" s="10" t="inlineStr">
        <is>
          <t>No White Screen of Death; MSG-0808 displayed; form keeps entered data; user can retry</t>
        </is>
      </c>
      <c r="P132" s="15" t="inlineStr">
        <is>
          <t>Automated</t>
        </is>
      </c>
      <c r="Q132" s="10" t="inlineStr">
        <is>
          <t>tests/fs08/test_ts04_break_it_resilience.py::test_tc_r8_brk_006_backend_server_500_resilience_on_profile_save</t>
        </is>
      </c>
    </row>
    <row r="133" ht="55" customHeight="1">
      <c r="A133" s="7" t="inlineStr">
        <is>
          <t>TC-R8-BRK-007</t>
        </is>
      </c>
      <c r="B133" s="7" t="inlineStr">
        <is>
          <t>TS-BRK</t>
        </is>
      </c>
      <c r="C133" s="8" t="inlineStr">
        <is>
          <t>Adversarial Testing</t>
        </is>
      </c>
      <c r="D133" s="8" t="inlineStr">
        <is>
          <t>Role Escalation &amp; Unauthorized Admin Portal Access</t>
        </is>
      </c>
      <c r="E133" s="8" t="inlineStr">
        <is>
          <t>Admin Portal Routes</t>
        </is>
      </c>
      <c r="F133" s="7" t="inlineStr">
        <is>
          <t>S1 (highest)</t>
        </is>
      </c>
      <c r="G133" s="16" t="inlineStr">
        <is>
          <t>P0</t>
        </is>
      </c>
      <c r="H133" s="7" t="inlineStr">
        <is>
          <t>Security / Authorization</t>
        </is>
      </c>
      <c r="I133" s="8" t="inlineStr">
        <is>
          <t>Section 4 Phân quyền; Invariant 8</t>
        </is>
      </c>
      <c r="J133" s="8" t="inlineStr">
        <is>
          <t>Invariant 8</t>
        </is>
      </c>
      <c r="K133" s="8" t="inlineStr"/>
      <c r="L133" s="8" t="inlineStr">
        <is>
          <t>Parent session active</t>
        </is>
      </c>
      <c r="M133" s="8" t="inlineStr">
        <is>
          <t>1. Attempt direct navigation to admin URLs using parent session</t>
        </is>
      </c>
      <c r="N133" s="8" t="inlineStr">
        <is>
          <t>URLs: /admin/fees, /admin/top-up, /admin/users</t>
        </is>
      </c>
      <c r="O133" s="8" t="inlineStr">
        <is>
          <t>Access denied; redirect to error/login; HTTP 401/403; zero admin data rendered</t>
        </is>
      </c>
      <c r="P133" s="15" t="inlineStr">
        <is>
          <t>Automated</t>
        </is>
      </c>
      <c r="Q133" s="8" t="inlineStr">
        <is>
          <t>tests/fs08/test_ts04_break_it_resilience.py::test_tc_r8_brk_007_unauthorized_admin_portal_access</t>
        </is>
      </c>
    </row>
    <row r="134" ht="55" customHeight="1">
      <c r="A134" s="9" t="inlineStr">
        <is>
          <t>TC-R8-BRK-008</t>
        </is>
      </c>
      <c r="B134" s="9" t="inlineStr">
        <is>
          <t>TS-BRK</t>
        </is>
      </c>
      <c r="C134" s="10" t="inlineStr">
        <is>
          <t>Adversarial Testing</t>
        </is>
      </c>
      <c r="D134" s="10" t="inlineStr">
        <is>
          <t>Confirm Dialog Keyboard Focus Boundary &amp; Accessibility Trap</t>
        </is>
      </c>
      <c r="E134" s="10" t="inlineStr">
        <is>
          <t>Parent Portal - My Details</t>
        </is>
      </c>
      <c r="F134" s="9" t="inlineStr">
        <is>
          <t>S3</t>
        </is>
      </c>
      <c r="G134" s="17" t="inlineStr">
        <is>
          <t>P1</t>
        </is>
      </c>
      <c r="H134" s="9" t="inlineStr">
        <is>
          <t>Accessibility / WCAG 2.1</t>
        </is>
      </c>
      <c r="I134" s="10" t="inlineStr">
        <is>
          <t>Invariant 7 Tầng 6; WCAG 2.1</t>
        </is>
      </c>
      <c r="J134" s="10" t="inlineStr">
        <is>
          <t>Invariant 7 (A11y)</t>
        </is>
      </c>
      <c r="K134" s="10" t="inlineStr"/>
      <c r="L134" s="10" t="inlineStr">
        <is>
          <t>Confirm Dialog is displayed</t>
        </is>
      </c>
      <c r="M134" s="10" t="inlineStr">
        <is>
          <t>1. Press Tab repeatedly
2. Press Escape key</t>
        </is>
      </c>
      <c r="N134" s="10" t="inlineStr">
        <is>
          <t>Keys: Tab, Shift+Tab, Escape</t>
        </is>
      </c>
      <c r="O134" s="10" t="inlineStr">
        <is>
          <t>Focus trapped within modal (cycles between Keep editing and Save changes); Escape closes dialog safely</t>
        </is>
      </c>
      <c r="P134" s="15" t="inlineStr">
        <is>
          <t>Automated</t>
        </is>
      </c>
      <c r="Q134" s="10" t="inlineStr">
        <is>
          <t>tests/fs08/test_ts04_break_it_resilience.py::test_tc_r8_brk_008_confirm_dialog_keyboard_focus_boundary</t>
        </is>
      </c>
    </row>
  </sheetData>
  <autoFilter ref="A1:Q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48" customWidth="1" min="2" max="2"/>
    <col width="12" customWidth="1" min="3" max="3"/>
    <col width="12" customWidth="1" min="4" max="4"/>
    <col width="12" customWidth="1" min="5" max="5"/>
    <col width="26" customWidth="1" min="6" max="6"/>
    <col width="48" customWidth="1" min="7" max="7"/>
    <col width="21" customWidth="1" min="8" max="8"/>
    <col width="48" customWidth="1" min="9" max="9"/>
    <col width="48" customWidth="1" min="10" max="10"/>
    <col width="48" customWidth="1" min="11" max="11"/>
  </cols>
  <sheetData>
    <row r="1" ht="28" customHeight="1">
      <c r="A1" s="6" t="inlineStr">
        <is>
          <t>Defect ID</t>
        </is>
      </c>
      <c r="B1" s="6" t="inlineStr">
        <is>
          <t>Defect Summary</t>
        </is>
      </c>
      <c r="C1" s="6" t="inlineStr">
        <is>
          <t>Severity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Linked Test Case</t>
        </is>
      </c>
      <c r="G1" s="6" t="inlineStr">
        <is>
          <t>Preconditions</t>
        </is>
      </c>
      <c r="H1" s="6" t="inlineStr">
        <is>
          <t>Steps to Reproduce</t>
        </is>
      </c>
      <c r="I1" s="6" t="inlineStr">
        <is>
          <t>Expected Result (FSD Standard)</t>
        </is>
      </c>
      <c r="J1" s="6" t="inlineStr">
        <is>
          <t>Actual Defect Behavior</t>
        </is>
      </c>
      <c r="K1" s="6" t="inlineStr">
        <is>
          <t>Automation Test Guard &amp; Verification Method</t>
        </is>
      </c>
    </row>
    <row r="2" ht="45" customHeight="1">
      <c r="A2" s="9" t="inlineStr">
        <is>
          <t>BUG-R8-001</t>
        </is>
      </c>
      <c r="B2" s="10" t="inlineStr">
        <is>
          <t>[My details] No success message after saving valid phone, email and mailing address</t>
        </is>
      </c>
      <c r="C2" s="9" t="inlineStr">
        <is>
          <t>S2</t>
        </is>
      </c>
      <c r="D2" s="17" t="inlineStr">
        <is>
          <t>High</t>
        </is>
      </c>
      <c r="E2" s="9" t="inlineStr">
        <is>
          <t>Open</t>
        </is>
      </c>
      <c r="F2" s="9" t="inlineStr">
        <is>
          <t>TC-R8-097</t>
        </is>
      </c>
      <c r="G2" s="10" t="inlineStr">
        <is>
          <t>Family Account holder (FA) is logged in; on /profile Edit Mode</t>
        </is>
      </c>
      <c r="H2" s="10" t="inlineStr">
        <is>
          <t>1. Open My details
2. Enter phone 98887777, email fa.new@example.sg, valid mailing
3. Click Save changes &amp; confirm</t>
        </is>
      </c>
      <c r="I2" s="10" t="inlineStr">
        <is>
          <t>MSG-0807 'Your details have been updated.' is shown. Values persist after reload. Audit log recorded. No email sent (D-28).</t>
        </is>
      </c>
      <c r="J2" s="10" t="inlineStr">
        <is>
          <t>No success message displayed after profile updated.</t>
        </is>
      </c>
      <c r="K2" s="10" t="inlineStr">
        <is>
          <t>tests/fs08/test_ts03_parent_profile.py::test_tc_r8_097_profile_update_successful_with_confirm_dialog</t>
        </is>
      </c>
    </row>
    <row r="3" ht="45" customHeight="1">
      <c r="A3" s="7" t="inlineStr">
        <is>
          <t>BUG-R8-002</t>
        </is>
      </c>
      <c r="B3" s="8" t="inlineStr">
        <is>
          <t>[My details] Invalid mobile numbers (starting with 7, 5, or wrong length) are accepted and saved</t>
        </is>
      </c>
      <c r="C3" s="7" t="inlineStr">
        <is>
          <t>S2</t>
        </is>
      </c>
      <c r="D3" s="17" t="inlineStr">
        <is>
          <t>High</t>
        </is>
      </c>
      <c r="E3" s="7" t="inlineStr">
        <is>
          <t>Open</t>
        </is>
      </c>
      <c r="F3" s="7" t="inlineStr">
        <is>
          <t>TC-R8-099</t>
        </is>
      </c>
      <c r="G3" s="8" t="inlineStr">
        <is>
          <t>Family Account holder (FA) is logged in; on /profile Edit Mode</t>
        </is>
      </c>
      <c r="H3" s="8" t="inlineStr">
        <is>
          <t>1. Open My details
2. Enter: 71234567, 51234567, 9123456, 912345678, +6591234567
3. Click Save changes</t>
        </is>
      </c>
      <c r="I3" s="8" t="inlineStr">
        <is>
          <t>MSG-0805 'Enter a mobile number in the correct format, like 9123 4567' is shown and nothing is saved.</t>
        </is>
      </c>
      <c r="J3" s="8" t="inlineStr">
        <is>
          <t>Invalid mobile numbers can be saved. MSG-0805 is not shown.</t>
        </is>
      </c>
      <c r="K3" s="8" t="inlineStr">
        <is>
          <t>tests/fs08/test_ts03_parent_profile.py::test_tc_r8_099_reject_invalid_singapore_mobile_number</t>
        </is>
      </c>
    </row>
    <row r="4" ht="45" customHeight="1">
      <c r="A4" s="9" t="inlineStr">
        <is>
          <t>BUG-R8-003</t>
        </is>
      </c>
      <c r="B4" s="10" t="inlineStr">
        <is>
          <t>[My details] Mobile number entered with a space is saved with the space instead of being trimmed</t>
        </is>
      </c>
      <c r="C4" s="9" t="inlineStr">
        <is>
          <t>S4</t>
        </is>
      </c>
      <c r="D4" s="9" t="inlineStr">
        <is>
          <t>Low</t>
        </is>
      </c>
      <c r="E4" s="9" t="inlineStr">
        <is>
          <t>Open</t>
        </is>
      </c>
      <c r="F4" s="9" t="inlineStr">
        <is>
          <t>TC-R8-100 / TC-PROF-P09</t>
        </is>
      </c>
      <c r="G4" s="10" t="inlineStr">
        <is>
          <t>Family Account holder (FA) is logged in; on /profile Edit Mode</t>
        </is>
      </c>
      <c r="H4" s="10" t="inlineStr">
        <is>
          <t>1. Open My details
2. Enter mobile number '9123 4567'
3. Click Save
4. Check stored value</t>
        </is>
      </c>
      <c r="I4" s="10" t="inlineStr">
        <is>
          <t>Saved with MSG-0807 and stored as 91234567 (space trimmed) or formatted properly.</t>
        </is>
      </c>
      <c r="J4" s="10" t="inlineStr">
        <is>
          <t>Saved with the space kept verbatim in DB.</t>
        </is>
      </c>
      <c r="K4" s="10" t="inlineStr">
        <is>
          <t>tests/fs08/test_ts03_parent_profile.py::test_tc_prof_p09_mobile_number_with_space</t>
        </is>
      </c>
    </row>
    <row r="5" ht="45" customHeight="1">
      <c r="A5" s="7" t="inlineStr">
        <is>
          <t>BUG-R8-004</t>
        </is>
      </c>
      <c r="B5" s="8" t="inlineStr">
        <is>
          <t>[My details] Invalid email message does not match MSG-0806 (missing example 'like name@example.com')</t>
        </is>
      </c>
      <c r="C5" s="7" t="inlineStr">
        <is>
          <t>S4</t>
        </is>
      </c>
      <c r="D5" s="7" t="inlineStr">
        <is>
          <t>Low</t>
        </is>
      </c>
      <c r="E5" s="7" t="inlineStr">
        <is>
          <t>Open</t>
        </is>
      </c>
      <c r="F5" s="7" t="inlineStr">
        <is>
          <t>TC-R8-101</t>
        </is>
      </c>
      <c r="G5" s="8" t="inlineStr">
        <is>
          <t>Family Account holder (FA) is logged in; on /profile Edit Mode</t>
        </is>
      </c>
      <c r="H5" s="8" t="inlineStr">
        <is>
          <t>1. Open My details
2. Enter invalid email (e.g. nameexample.com)
3. Click Save</t>
        </is>
      </c>
      <c r="I5" s="8" t="inlineStr">
        <is>
          <t>MSG-0806 verbatim: 'Enter an email address in the correct format, like name@example.com'.</t>
        </is>
      </c>
      <c r="J5" s="8" t="inlineStr">
        <is>
          <t>The message shown is 'Enter an email address in the correct format.' The example is missing.</t>
        </is>
      </c>
      <c r="K5" s="8" t="inlineStr">
        <is>
          <t>tests/fs08/test_ts03_parent_profile.py::test_tc_r8_101_reject_invalid_email_format_msg0806</t>
        </is>
      </c>
    </row>
    <row r="6" ht="45" customHeight="1">
      <c r="A6" s="9" t="inlineStr">
        <is>
          <t>BUG-R8-005</t>
        </is>
      </c>
      <c r="B6" s="10" t="inlineStr">
        <is>
          <t>[My details] Required fields cannot be cleared (revert on blur), so MSG-0001 cannot be triggered</t>
        </is>
      </c>
      <c r="C6" s="9" t="inlineStr">
        <is>
          <t>S2</t>
        </is>
      </c>
      <c r="D6" s="17" t="inlineStr">
        <is>
          <t>High</t>
        </is>
      </c>
      <c r="E6" s="9" t="inlineStr">
        <is>
          <t>Open</t>
        </is>
      </c>
      <c r="F6" s="9" t="inlineStr">
        <is>
          <t>TC-R8-103 / TC-PROF-P13</t>
        </is>
      </c>
      <c r="G6" s="10" t="inlineStr">
        <is>
          <t>Family Account holder (FA) is logged in; on /profile Edit Mode</t>
        </is>
      </c>
      <c r="H6" s="10" t="inlineStr">
        <is>
          <t>1. Open My details
2. Clear Mobile number, Email, Mailing street, Postal code
3. Click Save</t>
        </is>
      </c>
      <c r="I6" s="10" t="inlineStr">
        <is>
          <t>MSG-0001 is shown under each blank field ('Enter your &lt;field&gt;') and submit is prevented.</t>
        </is>
      </c>
      <c r="J6" s="10" t="inlineStr">
        <is>
          <t>Required fields cannot be cleared or old value reverts on blur, so blank validation cannot be reached.</t>
        </is>
      </c>
      <c r="K6" s="10" t="inlineStr">
        <is>
          <t>tests/fs08/test_ts03_parent_profile.py::test_tc_prof_p13_required_fields_empty_validation_msg0001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29" customWidth="1" min="4" max="4"/>
    <col width="48" customWidth="1" min="5" max="5"/>
    <col width="48" customWidth="1" min="6" max="6"/>
  </cols>
  <sheetData>
    <row r="1">
      <c r="A1" s="5" t="inlineStr">
        <is>
          <t>DANH MỤC THÔNG ĐIỆP HỆ THỐNG FS08 (TABLE 124 CATALOG)</t>
        </is>
      </c>
    </row>
    <row r="2" ht="25" customHeight="1">
      <c r="A2" s="6" t="inlineStr">
        <is>
          <t>Mã Thông Điệp</t>
        </is>
      </c>
      <c r="B2" s="6" t="inlineStr">
        <is>
          <t>Chuỗi Ký Tự Tiếng Anh Verbatim (Exact String)</t>
        </is>
      </c>
      <c r="C2" s="6" t="inlineStr">
        <is>
          <t>Ngữ Cảnh Kích Hoạt</t>
        </is>
      </c>
      <c r="D2" s="6" t="inlineStr">
        <is>
          <t>Kịch Bản Kiểm Thử Xác Thực</t>
        </is>
      </c>
    </row>
    <row r="3" ht="25" customHeight="1">
      <c r="A3" s="18" t="inlineStr">
        <is>
          <t>MSG-0801</t>
        </is>
      </c>
      <c r="B3" s="8" t="inlineStr">
        <is>
          <t>We could not find any student linked to your account. Please contact your child's school.</t>
        </is>
      </c>
      <c r="C3" s="8" t="inlineStr">
        <is>
          <t>SingPass NRIC không có học sinh liên kết trong Mock Data API</t>
        </is>
      </c>
      <c r="D3" s="7" t="inlineStr">
        <is>
          <t>TC-R8-007</t>
        </is>
      </c>
    </row>
    <row r="4" ht="25" customHeight="1">
      <c r="A4" s="19" t="inlineStr">
        <is>
          <t>MSG-0802</t>
        </is>
      </c>
      <c r="B4" s="10" t="inlineStr">
        <is>
          <t>Login was not completed. Try again.</t>
        </is>
      </c>
      <c r="C4" s="10" t="inlineStr">
        <is>
          <t>SingPass Mock trả về mã lỗi hoặc người dùng chủ động bấm Hủy</t>
        </is>
      </c>
      <c r="D4" s="9" t="inlineStr">
        <is>
          <t>TC-R8-004, TC-R8-005</t>
        </is>
      </c>
    </row>
    <row r="5" ht="25" customHeight="1">
      <c r="A5" s="18" t="inlineStr">
        <is>
          <t>MSG-0803</t>
        </is>
      </c>
      <c r="B5" s="8" t="inlineStr">
        <is>
          <t>No transactions found.</t>
        </is>
      </c>
      <c r="C5" s="8" t="inlineStr">
        <is>
          <t>Áp dụng bộ lọc giao dịch nhưng không có kết quả khớp</t>
        </is>
      </c>
      <c r="D5" s="7" t="inlineStr">
        <is>
          <t>TC-R8-081</t>
        </is>
      </c>
    </row>
    <row r="6" ht="25" customHeight="1">
      <c r="A6" s="19" t="inlineStr">
        <is>
          <t>MSG-0804</t>
        </is>
      </c>
      <c r="B6" s="10" t="inlineStr">
        <is>
          <t>This student does not have an Education Account.</t>
        </is>
      </c>
      <c r="C6" s="10" t="inlineStr">
        <is>
          <t>Học sinh công dân đủ tuổi nhưng chưa có bản ghi tài khoản EA</t>
        </is>
      </c>
      <c r="D6" s="9" t="inlineStr">
        <is>
          <t>TC-R8-006</t>
        </is>
      </c>
    </row>
    <row r="7" ht="25" customHeight="1">
      <c r="A7" s="18" t="inlineStr">
        <is>
          <t>MSG-0805</t>
        </is>
      </c>
      <c r="B7" s="8" t="inlineStr">
        <is>
          <t>Enter a mobile number in the correct format, like 9123 4567</t>
        </is>
      </c>
      <c r="C7" s="8" t="inlineStr">
        <is>
          <t>Nhập SĐT sai định dạng Singapore (không bắt đầu 6,8,9 hoặc sai độ dài)</t>
        </is>
      </c>
      <c r="D7" s="7" t="inlineStr">
        <is>
          <t>TC-R8-099, BUG-R8-002</t>
        </is>
      </c>
    </row>
    <row r="8" ht="25" customHeight="1">
      <c r="A8" s="19" t="inlineStr">
        <is>
          <t>MSG-0806</t>
        </is>
      </c>
      <c r="B8" s="10" t="inlineStr">
        <is>
          <t>Enter an email address in the correct format, like name@example.com</t>
        </is>
      </c>
      <c r="C8" s="10" t="inlineStr">
        <is>
          <t>Nhập email sai định dạng RFC hoặc vượt quá 150 ký tự</t>
        </is>
      </c>
      <c r="D8" s="9" t="inlineStr">
        <is>
          <t>TC-R8-101, BUG-R8-004</t>
        </is>
      </c>
    </row>
    <row r="9" ht="25" customHeight="1">
      <c r="A9" s="18" t="inlineStr">
        <is>
          <t>MSG-0807</t>
        </is>
      </c>
      <c r="B9" s="8" t="inlineStr">
        <is>
          <t>Your details have been updated.</t>
        </is>
      </c>
      <c r="C9" s="8" t="inlineStr">
        <is>
          <t>Lưu thông tin cá nhân My details thành công</t>
        </is>
      </c>
      <c r="D9" s="7" t="inlineStr">
        <is>
          <t>TC-R8-097, BUG-R8-001</t>
        </is>
      </c>
    </row>
    <row r="10" ht="25" customHeight="1">
      <c r="A10" s="19" t="inlineStr">
        <is>
          <t>MSG-0808</t>
        </is>
      </c>
      <c r="B10" s="10" t="inlineStr">
        <is>
          <t>We could not update your details. Please try again.</t>
        </is>
      </c>
      <c r="C10" s="10" t="inlineStr">
        <is>
          <t>Lỗi máy chủ HTTP 500 hoặc mất kết nối DB khi lưu profile</t>
        </is>
      </c>
      <c r="D10" s="9" t="inlineStr">
        <is>
          <t>TC-R8-017, TC-R8-BRK-006</t>
        </is>
      </c>
    </row>
    <row r="11" ht="25" customHeight="1">
      <c r="A11" s="18" t="inlineStr">
        <is>
          <t>MSG-0809</t>
        </is>
      </c>
      <c r="B11" s="8" t="inlineStr">
        <is>
          <t>We could not retrieve your information. Please try again later.</t>
        </is>
      </c>
      <c r="C11" s="8" t="inlineStr">
        <is>
          <t>Data API timeout quá 10 giây hoặc trả HTTP 500 lúc đăng nhập (D-31)</t>
        </is>
      </c>
      <c r="D11" s="7" t="inlineStr">
        <is>
          <t>TC-R8-023</t>
        </is>
      </c>
    </row>
    <row r="12" ht="25" customHeight="1">
      <c r="A12" s="19" t="inlineStr">
        <is>
          <t>MSG-0001</t>
        </is>
      </c>
      <c r="B12" s="10" t="inlineStr">
        <is>
          <t>Enter your &lt;field&gt;</t>
        </is>
      </c>
      <c r="C12" s="10" t="inlineStr">
        <is>
          <t>Bỏ trống trường bắt buộc trong My details (Mobile, Email, Street, Postal, Country)</t>
        </is>
      </c>
      <c r="D12" s="9" t="inlineStr">
        <is>
          <t>TC-PROF-P13, BUG-R8-005</t>
        </is>
      </c>
    </row>
    <row r="13" ht="25" customHeight="1">
      <c r="A13" s="18" t="inlineStr">
        <is>
          <t>MSG-0002</t>
        </is>
      </c>
      <c r="B13" s="8" t="inlineStr">
        <is>
          <t>Your session has expired. Please log in again.</t>
        </is>
      </c>
      <c r="C13" s="8" t="inlineStr">
        <is>
          <t>Hết hạn phiên làm việc do không thao tác trong 15 phút (D-22)</t>
        </is>
      </c>
      <c r="D13" s="7" t="inlineStr">
        <is>
          <t>TC-R8-020</t>
        </is>
      </c>
    </row>
    <row r="14" ht="25" customHeight="1">
      <c r="A14" s="19" t="inlineStr">
        <is>
          <t>MSG-0003</t>
        </is>
      </c>
      <c r="B14" s="10" t="inlineStr">
        <is>
          <t>You do not have permission to perform this action.</t>
        </is>
      </c>
      <c r="C14" s="10" t="inlineStr">
        <is>
          <t>Cố tình sửa URL xem học sinh của phụ huynh khác (IDOR Protection)</t>
        </is>
      </c>
      <c r="D14" s="9" t="inlineStr">
        <is>
          <t>TC-R8-013</t>
        </is>
      </c>
    </row>
    <row r="15"/>
    <row r="16"/>
    <row r="17">
      <c r="A17" s="5" t="inlineStr">
        <is>
          <t>QUY CHUẨN ĐỊNH DẠNG DỮ LIỆU SINGAPORE (TABLE 119 CONTRACTS)</t>
        </is>
      </c>
    </row>
    <row r="18" ht="25" customHeight="1">
      <c r="A18" s="6" t="inlineStr">
        <is>
          <t>Trường Dữ Liệu</t>
        </is>
      </c>
      <c r="B18" s="6" t="inlineStr">
        <is>
          <t>Kiểu &amp; Giới Hạn</t>
        </is>
      </c>
      <c r="C18" s="6" t="inlineStr">
        <is>
          <t>Bắt Buộc</t>
        </is>
      </c>
      <c r="D18" s="6" t="inlineStr">
        <is>
          <t>Cho Phép Sửa</t>
        </is>
      </c>
      <c r="E18" s="6" t="inlineStr">
        <is>
          <t>Biểu Thức Regex / Thuật Toán Kiểm Tra</t>
        </is>
      </c>
      <c r="F18" s="6" t="inlineStr">
        <is>
          <t>Ghi Chú Nghiệp Vụ</t>
        </is>
      </c>
    </row>
    <row r="19" ht="25" customHeight="1">
      <c r="A19" s="18" t="inlineStr">
        <is>
          <t>Full Name</t>
        </is>
      </c>
      <c r="B19" s="8" t="inlineStr">
        <is>
          <t>NVARCHAR(150)</t>
        </is>
      </c>
      <c r="C19" s="7" t="inlineStr">
        <is>
          <t>Không</t>
        </is>
      </c>
      <c r="D19" s="7" t="inlineStr">
        <is>
          <t>Không (Read-only)</t>
        </is>
      </c>
      <c r="E19" s="8" t="inlineStr">
        <is>
          <t>Trích xuất trực tiếp từ SingPass</t>
        </is>
      </c>
      <c r="F19" s="8" t="inlineStr">
        <is>
          <t>Bất biến; không có ô input</t>
        </is>
      </c>
    </row>
    <row r="20" ht="25" customHeight="1">
      <c r="A20" s="19" t="inlineStr">
        <is>
          <t>NRIC</t>
        </is>
      </c>
      <c r="B20" s="10" t="inlineStr">
        <is>
          <t>VARCHAR(9)</t>
        </is>
      </c>
      <c r="C20" s="9" t="inlineStr">
        <is>
          <t>Không</t>
        </is>
      </c>
      <c r="D20" s="9" t="inlineStr">
        <is>
          <t>Không (Read-only)</t>
        </is>
      </c>
      <c r="E20" s="10" t="inlineStr">
        <is>
          <t>^[STFG]\d{7}[A-Z]$</t>
        </is>
      </c>
      <c r="F20" s="10" t="inlineStr">
        <is>
          <t>Che mặc định dạng S****321B; nút Show/Hide</t>
        </is>
      </c>
    </row>
    <row r="21" ht="25" customHeight="1">
      <c r="A21" s="18" t="inlineStr">
        <is>
          <t>Residential Address</t>
        </is>
      </c>
      <c r="B21" s="8" t="inlineStr">
        <is>
          <t>Block, Street, Unit, Postal, Country</t>
        </is>
      </c>
      <c r="C21" s="7" t="inlineStr">
        <is>
          <t>Không</t>
        </is>
      </c>
      <c r="D21" s="7" t="inlineStr">
        <is>
          <t>Không (Read-only)</t>
        </is>
      </c>
      <c r="E21" s="8" t="inlineStr">
        <is>
          <t>Trích xuất từ SingPass theo Quyết định D-20</t>
        </is>
      </c>
      <c r="F21" s="8" t="inlineStr">
        <is>
          <t>Bất biến; không có ô input</t>
        </is>
      </c>
    </row>
    <row r="22" ht="25" customHeight="1">
      <c r="A22" s="19" t="inlineStr">
        <is>
          <t>Mobile Number</t>
        </is>
      </c>
      <c r="B22" s="10" t="inlineStr">
        <is>
          <t>VARCHAR(20), đúng 8 chữ số</t>
        </is>
      </c>
      <c r="C22" s="9" t="inlineStr">
        <is>
          <t>Có</t>
        </is>
      </c>
      <c r="D22" s="9" t="inlineStr">
        <is>
          <t>Có</t>
        </is>
      </c>
      <c r="E22" s="10" t="inlineStr">
        <is>
          <t>^[689]\d{7}$</t>
        </is>
      </c>
      <c r="F22" s="10" t="inlineStr">
        <is>
          <t>Bắt đầu 6, 8, 9; cho phép space nhưng phải trim</t>
        </is>
      </c>
    </row>
    <row r="23" ht="25" customHeight="1">
      <c r="A23" s="18" t="inlineStr">
        <is>
          <t>Email Address</t>
        </is>
      </c>
      <c r="B23" s="8" t="inlineStr">
        <is>
          <t>NVARCHAR(150), tối đa 150 ký tự</t>
        </is>
      </c>
      <c r="C23" s="7" t="inlineStr">
        <is>
          <t>Có</t>
        </is>
      </c>
      <c r="D23" s="7" t="inlineStr">
        <is>
          <t>Có</t>
        </is>
      </c>
      <c r="E23" s="8" t="inlineStr">
        <is>
          <t>^[a-zA-Z0-9._%+-]+@[a-zA-Z0-9.-]+\.[a-zA-Z]{2,}$</t>
        </is>
      </c>
      <c r="F23" s="8" t="inlineStr">
        <is>
          <t>Chuẩn RFC 5322; tối đa 150 ký tự</t>
        </is>
      </c>
    </row>
    <row r="24" ht="25" customHeight="1">
      <c r="A24" s="19" t="inlineStr">
        <is>
          <t>Mailing Street</t>
        </is>
      </c>
      <c r="B24" s="10" t="inlineStr">
        <is>
          <t>NVARCHAR(100), tối đa 100 ký tự</t>
        </is>
      </c>
      <c r="C24" s="9" t="inlineStr">
        <is>
          <t>Có</t>
        </is>
      </c>
      <c r="D24" s="9" t="inlineStr">
        <is>
          <t>Có</t>
        </is>
      </c>
      <c r="E24" s="10" t="inlineStr">
        <is>
          <t>1 &lt;= length &lt;= 100</t>
        </is>
      </c>
      <c r="F24" s="10" t="inlineStr">
        <is>
          <t>Bắt buộc; hỗ trợ ký tự địa chỉ Singapore</t>
        </is>
      </c>
    </row>
    <row r="25" ht="25" customHeight="1">
      <c r="A25" s="18" t="inlineStr">
        <is>
          <t>Mailing Postal Code</t>
        </is>
      </c>
      <c r="B25" s="8" t="inlineStr">
        <is>
          <t>VARCHAR(10), đúng 6 chữ số</t>
        </is>
      </c>
      <c r="C25" s="7" t="inlineStr">
        <is>
          <t>Có</t>
        </is>
      </c>
      <c r="D25" s="7" t="inlineStr">
        <is>
          <t>Có</t>
        </is>
      </c>
      <c r="E25" s="8" t="inlineStr">
        <is>
          <t>^\d{6}$</t>
        </is>
      </c>
      <c r="F25" s="8" t="inlineStr">
        <is>
          <t>Đúng 6 số bưu chính; chấp nhận số 0 đầu</t>
        </is>
      </c>
    </row>
    <row r="26" ht="25" customHeight="1">
      <c r="A26" s="19" t="inlineStr">
        <is>
          <t>Mailing Country</t>
        </is>
      </c>
      <c r="B26" s="10" t="inlineStr">
        <is>
          <t>NVARCHAR(100), tối đa 100 ký tự</t>
        </is>
      </c>
      <c r="C26" s="9" t="inlineStr">
        <is>
          <t>Có</t>
        </is>
      </c>
      <c r="D26" s="9" t="inlineStr">
        <is>
          <t>Có</t>
        </is>
      </c>
      <c r="E26" s="10" t="inlineStr">
        <is>
          <t>1 &lt;= length &lt;= 100</t>
        </is>
      </c>
      <c r="F26" s="10" t="inlineStr">
        <is>
          <t>Mặc định SINGAPORE</t>
        </is>
      </c>
    </row>
    <row r="27" ht="25" customHeight="1">
      <c r="A27" s="18" t="inlineStr">
        <is>
          <t>Mailing Block</t>
        </is>
      </c>
      <c r="B27" s="8" t="inlineStr">
        <is>
          <t>NVARCHAR(20), tối đa 20 ký tự</t>
        </is>
      </c>
      <c r="C27" s="7" t="inlineStr">
        <is>
          <t>Không</t>
        </is>
      </c>
      <c r="D27" s="7" t="inlineStr">
        <is>
          <t>Có</t>
        </is>
      </c>
      <c r="E27" s="8" t="inlineStr">
        <is>
          <t>0 &lt;= length &lt;= 20</t>
        </is>
      </c>
      <c r="F27" s="8" t="inlineStr">
        <is>
          <t>Tùy chọn (Optional)</t>
        </is>
      </c>
    </row>
    <row r="28" ht="25" customHeight="1">
      <c r="A28" s="19" t="inlineStr">
        <is>
          <t>Mailing Unit</t>
        </is>
      </c>
      <c r="B28" s="10" t="inlineStr">
        <is>
          <t>NVARCHAR(20), tối đa 20 ký tự</t>
        </is>
      </c>
      <c r="C28" s="9" t="inlineStr">
        <is>
          <t>Không</t>
        </is>
      </c>
      <c r="D28" s="9" t="inlineStr">
        <is>
          <t>Có</t>
        </is>
      </c>
      <c r="E28" s="10" t="inlineStr">
        <is>
          <t>0 &lt;= length &lt;= 20</t>
        </is>
      </c>
      <c r="F28" s="10" t="inlineStr">
        <is>
          <t>Tùy chọn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2026-10-21T14:04:25Z</dcterms:created>
  <dcterms:modified xmlns:dcterms="http://purl.org/dc/terms/" xmlns:xsi="http://www.w3.org/2001/XMLSchema-instance" xsi:type="dcterms:W3CDTF">2026-10-21T14:04:25Z</dcterms:modified>
</cp:coreProperties>
</file>