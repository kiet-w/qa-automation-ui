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 &amp; KPIs" sheetId="1" state="visible" r:id="rId1"/>
    <sheet xmlns:r="http://schemas.openxmlformats.org/officeDocument/2006/relationships" name="Master Execution Log (22 TCs)" sheetId="2" state="visible" r:id="rId2"/>
    <sheet xmlns:r="http://schemas.openxmlformats.org/officeDocument/2006/relationships" name="1. Business Rules (2 TCs)" sheetId="3" state="visible" r:id="rId3"/>
    <sheet xmlns:r="http://schemas.openxmlformats.org/officeDocument/2006/relationships" name="2. Acceptance Criteria (9 TCs)" sheetId="4" state="visible" r:id="rId4"/>
    <sheet xmlns:r="http://schemas.openxmlformats.org/officeDocument/2006/relationships" name="3. Tech &amp; UI Matrix (11 TC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475569"/>
      <sz val="10"/>
    </font>
    <font>
      <name val="Segoe UI"/>
      <b val="1"/>
      <color rgb="001B365D"/>
      <sz val="20"/>
    </font>
    <font>
      <name val="Segoe UI"/>
      <b val="1"/>
      <color rgb="00475569"/>
      <sz val="9"/>
    </font>
    <font>
      <name val="Segoe UI"/>
      <i val="1"/>
      <color rgb="0064748B"/>
      <sz val="8.5"/>
    </font>
    <font>
      <name val="Segoe UI"/>
      <b val="1"/>
      <color rgb="001B365D"/>
      <sz val="11"/>
    </font>
    <font>
      <name val="Segoe UI"/>
      <b val="1"/>
      <color rgb="00FFFFFF"/>
      <sz val="10"/>
    </font>
    <font>
      <name val="Segoe UI"/>
      <color rgb="000F172A"/>
      <sz val="9.5"/>
    </font>
    <font>
      <name val="Segoe UI"/>
      <color rgb="000F172A"/>
      <sz val="9"/>
    </font>
    <font>
      <name val="Segoe UI"/>
      <b val="1"/>
      <color rgb="001B365D"/>
      <sz val="9.5"/>
    </font>
    <font>
      <name val="Segoe UI"/>
      <b val="1"/>
      <color rgb="000284C7"/>
      <sz val="9"/>
    </font>
    <font>
      <name val="Consolas"/>
      <b val="1"/>
      <color rgb="001B365D"/>
      <sz val="9"/>
    </font>
    <font>
      <name val="Consolas"/>
      <color rgb="00475569"/>
      <sz val="8.5"/>
    </font>
    <font>
      <name val="Segoe UI"/>
      <b val="1"/>
      <color rgb="000F172A"/>
      <sz val="9.5"/>
    </font>
    <font>
      <name val="Segoe UI"/>
      <b val="1"/>
      <color rgb="0092400E"/>
      <sz val="9.5"/>
    </font>
    <font>
      <name val="Segoe UI"/>
      <b val="1"/>
      <color rgb="00991B1B"/>
      <sz val="9.5"/>
    </font>
    <font>
      <name val="Segoe UI"/>
      <b val="1"/>
      <color rgb="00166534"/>
      <sz val="9.5"/>
    </font>
    <font>
      <name val="Segoe UI"/>
      <color rgb="00334155"/>
      <sz val="9"/>
    </font>
    <font>
      <name val="Consolas"/>
      <color rgb="001E3A8A"/>
      <sz val="8.5"/>
    </font>
    <font>
      <name val="Segoe UI"/>
      <color rgb="00166534"/>
      <sz val="9"/>
    </font>
    <font>
      <name val="Segoe UI"/>
      <b val="1"/>
      <color rgb="000284C7"/>
      <sz val="9.5"/>
      <u val="single"/>
    </font>
    <font>
      <name val="Segoe UI"/>
      <b val="1"/>
      <color rgb="00B45309"/>
      <sz val="9.5"/>
    </font>
  </fonts>
  <fills count="9">
    <fill>
      <patternFill/>
    </fill>
    <fill>
      <patternFill patternType="gray125"/>
    </fill>
    <fill>
      <patternFill patternType="solid">
        <fgColor rgb="00EBF3FC"/>
        <bgColor rgb="00EBF3FC"/>
      </patternFill>
    </fill>
    <fill>
      <patternFill patternType="solid">
        <fgColor rgb="001B365D"/>
        <bgColor rgb="001B365D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8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9" fillId="0" borderId="1" pivotButton="0" quotePrefix="0" xfId="0"/>
    <xf numFmtId="0" fontId="10" fillId="2" borderId="1" pivotButton="0" quotePrefix="0" xfId="0"/>
    <xf numFmtId="0" fontId="0" fillId="2" borderId="1" applyAlignment="1" pivotButton="0" quotePrefix="0" xfId="0">
      <alignment horizontal="center" vertical="center"/>
    </xf>
    <xf numFmtId="0" fontId="11" fillId="2" borderId="1" pivotButton="0" quotePrefix="0" xfId="0"/>
    <xf numFmtId="0" fontId="7" fillId="3" borderId="1" applyAlignment="1" pivotButton="0" quotePrefix="0" xfId="0">
      <alignment horizontal="center" vertical="center" wrapText="1"/>
    </xf>
    <xf numFmtId="0" fontId="12" fillId="6" borderId="1" pivotButton="0" quotePrefix="0" xfId="0"/>
    <xf numFmtId="0" fontId="13" fillId="6" borderId="1" pivotButton="0" quotePrefix="0" xfId="0"/>
    <xf numFmtId="0" fontId="0" fillId="6" borderId="1" applyAlignment="1" pivotButton="0" quotePrefix="0" xfId="0">
      <alignment horizontal="center" vertical="top"/>
    </xf>
    <xf numFmtId="0" fontId="14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/>
    </xf>
    <xf numFmtId="0" fontId="16" fillId="6" borderId="1" applyAlignment="1" pivotButton="0" quotePrefix="0" xfId="0">
      <alignment horizontal="center" vertical="top"/>
    </xf>
    <xf numFmtId="0" fontId="17" fillId="5" borderId="1" applyAlignment="1" pivotButton="0" quotePrefix="0" xfId="0">
      <alignment horizontal="center" vertical="top"/>
    </xf>
    <xf numFmtId="0" fontId="18" fillId="6" borderId="1" applyAlignment="1" pivotButton="0" quotePrefix="0" xfId="0">
      <alignment vertical="top" wrapText="1"/>
    </xf>
    <xf numFmtId="0" fontId="19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20" fillId="6" borderId="1" applyAlignment="1" pivotButton="0" quotePrefix="0" xfId="0">
      <alignment vertical="top" wrapText="1"/>
    </xf>
    <xf numFmtId="0" fontId="21" fillId="6" borderId="1" applyAlignment="1" pivotButton="0" quotePrefix="0" xfId="0">
      <alignment horizontal="center" vertical="top"/>
    </xf>
    <xf numFmtId="0" fontId="13" fillId="6" borderId="1" applyAlignment="1" pivotButton="0" quotePrefix="0" xfId="0">
      <alignment vertical="top" wrapText="1"/>
    </xf>
    <xf numFmtId="0" fontId="12" fillId="7" borderId="1" pivotButton="0" quotePrefix="0" xfId="0"/>
    <xf numFmtId="0" fontId="13" fillId="7" borderId="1" pivotButton="0" quotePrefix="0" xfId="0"/>
    <xf numFmtId="0" fontId="0" fillId="7" borderId="1" applyAlignment="1" pivotButton="0" quotePrefix="0" xfId="0">
      <alignment horizontal="center" vertical="top"/>
    </xf>
    <xf numFmtId="0" fontId="14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16" fillId="7" borderId="1" applyAlignment="1" pivotButton="0" quotePrefix="0" xfId="0">
      <alignment horizontal="center" vertical="top"/>
    </xf>
    <xf numFmtId="0" fontId="18" fillId="7" borderId="1" applyAlignment="1" pivotButton="0" quotePrefix="0" xfId="0">
      <alignment vertical="top" wrapText="1"/>
    </xf>
    <xf numFmtId="0" fontId="19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20" fillId="7" borderId="1" applyAlignment="1" pivotButton="0" quotePrefix="0" xfId="0">
      <alignment vertical="top" wrapText="1"/>
    </xf>
    <xf numFmtId="0" fontId="21" fillId="7" borderId="1" applyAlignment="1" pivotButton="0" quotePrefix="0" xfId="0">
      <alignment horizontal="center" vertical="top"/>
    </xf>
    <xf numFmtId="0" fontId="13" fillId="7" borderId="1" applyAlignment="1" pivotButton="0" quotePrefix="0" xfId="0">
      <alignment vertical="top" wrapText="1"/>
    </xf>
    <xf numFmtId="0" fontId="22" fillId="6" borderId="1" applyAlignment="1" pivotButton="0" quotePrefix="0" xfId="0">
      <alignment horizontal="center" vertical="top"/>
    </xf>
    <xf numFmtId="0" fontId="22" fillId="7" borderId="1" applyAlignment="1" pivotButton="0" quotePrefix="0" xfId="0">
      <alignment horizontal="center" vertical="top"/>
    </xf>
    <xf numFmtId="0" fontId="16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14" customWidth="1" min="4" max="4"/>
    <col width="44" customWidth="1" min="5" max="5"/>
  </cols>
  <sheetData>
    <row r="1" ht="28" customHeight="1">
      <c r="A1" s="1" t="inlineStr">
        <is>
          <t>EduFAMS Test Execution &amp; Video Evidence Report — FS03: Create a School</t>
        </is>
      </c>
    </row>
    <row r="2" ht="18" customHeight="1">
      <c r="A2" s="2" t="inlineStr">
        <is>
          <t>Single Source of Truth: executive.html &amp; TC_FS03_School_Create.md  |  Target: http://localhost:5173/school-management/new  |  System Defect Count: 0 (100% Passed)</t>
        </is>
      </c>
    </row>
    <row r="4" ht="26" customHeight="1">
      <c r="B4" s="3" t="inlineStr">
        <is>
          <t>22</t>
        </is>
      </c>
      <c r="C4" s="4" t="n"/>
      <c r="D4" s="5" t="n"/>
      <c r="E4" s="3" t="inlineStr">
        <is>
          <t>0 BUGS</t>
        </is>
      </c>
      <c r="F4" s="4" t="n"/>
      <c r="G4" s="5" t="n"/>
      <c r="H4" s="3" t="inlineStr">
        <is>
          <t>100%</t>
        </is>
      </c>
      <c r="I4" s="4" t="n"/>
      <c r="J4" s="5" t="n"/>
      <c r="K4" s="3" t="inlineStr">
        <is>
          <t>22 WebM Files</t>
        </is>
      </c>
      <c r="L4" s="4" t="n"/>
      <c r="M4" s="5" t="n"/>
    </row>
    <row r="5" ht="18" customHeight="1">
      <c r="B5" s="6" t="inlineStr">
        <is>
          <t>AUTOMATED TEST CASES</t>
        </is>
      </c>
      <c r="C5" s="4" t="n"/>
      <c r="D5" s="5" t="n"/>
      <c r="E5" s="6" t="inlineStr">
        <is>
          <t>SYSTEM DEFECT COUNT</t>
        </is>
      </c>
      <c r="F5" s="4" t="n"/>
      <c r="G5" s="5" t="n"/>
      <c r="H5" s="6" t="inlineStr">
        <is>
          <t>VERIFICATION PASS RATE</t>
        </is>
      </c>
      <c r="I5" s="4" t="n"/>
      <c r="J5" s="5" t="n"/>
      <c r="K5" s="6" t="inlineStr">
        <is>
          <t>1080P VIDEO EVIDENCE</t>
        </is>
      </c>
      <c r="L5" s="4" t="n"/>
      <c r="M5" s="5" t="n"/>
    </row>
    <row r="6" ht="18" customHeight="1">
      <c r="B6" s="7" t="inlineStr">
        <is>
          <t>22 / 22 Tests Executed</t>
        </is>
      </c>
      <c r="C6" s="4" t="n"/>
      <c r="D6" s="5" t="n"/>
      <c r="E6" s="7" t="inlineStr">
        <is>
          <t>All Handlings Match BR &amp; AC</t>
        </is>
      </c>
      <c r="F6" s="4" t="n"/>
      <c r="G6" s="5" t="n"/>
      <c r="H6" s="7" t="inlineStr">
        <is>
          <t>Zero Test Failures</t>
        </is>
      </c>
      <c r="I6" s="4" t="n"/>
      <c r="J6" s="5" t="n"/>
      <c r="K6" s="7" t="inlineStr">
        <is>
          <t>Full HD Recordings Attached</t>
        </is>
      </c>
      <c r="L6" s="4" t="n"/>
      <c r="M6" s="5" t="n"/>
    </row>
    <row r="8" ht="22" customHeight="1">
      <c r="A8" s="8" t="inlineStr">
        <is>
          <t>EXECUTION BREAKDOWN BY 3-TIER CORE ARCHITECTURE</t>
        </is>
      </c>
    </row>
    <row r="9" ht="24" customHeight="1">
      <c r="A9" s="9" t="inlineStr">
        <is>
          <t>Pillar / Category</t>
        </is>
      </c>
      <c r="B9" s="9" t="inlineStr">
        <is>
          <t>Executed Cases</t>
        </is>
      </c>
      <c r="C9" s="9" t="inlineStr">
        <is>
          <t>Pass Count</t>
        </is>
      </c>
      <c r="D9" s="9" t="inlineStr">
        <is>
          <t>System Bugs</t>
        </is>
      </c>
      <c r="E9" s="9" t="inlineStr">
        <is>
          <t>Execution Video Link Coverage</t>
        </is>
      </c>
    </row>
    <row r="10" ht="22" customHeight="1">
      <c r="A10" s="10" t="inlineStr">
        <is>
          <t>⚖️ 1. Business Rules (BR)</t>
        </is>
      </c>
      <c r="B10" s="11" t="n">
        <v>2</v>
      </c>
      <c r="C10" s="11" t="n">
        <v>2</v>
      </c>
      <c r="D10" s="11" t="n">
        <v>0</v>
      </c>
      <c r="E10" s="12" t="inlineStr">
        <is>
          <t>2 WebM Videos (tc_br001, tc_br002)</t>
        </is>
      </c>
    </row>
    <row r="11" ht="22" customHeight="1">
      <c r="A11" s="10" t="inlineStr">
        <is>
          <t>🎯 2. Acceptance Criteria (AC)</t>
        </is>
      </c>
      <c r="B11" s="11" t="n">
        <v>9</v>
      </c>
      <c r="C11" s="11" t="n">
        <v>9</v>
      </c>
      <c r="D11" s="11" t="n">
        <v>0</v>
      </c>
      <c r="E11" s="12" t="inlineStr">
        <is>
          <t>9 WebM Videos (tc_ac001 to tc_ac010)</t>
        </is>
      </c>
    </row>
    <row r="12" ht="22" customHeight="1">
      <c r="A12" s="10" t="inlineStr">
        <is>
          <t>🛠️ 3. Tech &amp; UI Matrix (TECH_UI)</t>
        </is>
      </c>
      <c r="B12" s="11" t="n">
        <v>11</v>
      </c>
      <c r="C12" s="11" t="n">
        <v>11</v>
      </c>
      <c r="D12" s="11" t="n">
        <v>0</v>
      </c>
      <c r="E12" s="12" t="inlineStr">
        <is>
          <t>11 WebM Videos (tc_cod, tc_nam, tc_typ, tc_nfr)</t>
        </is>
      </c>
    </row>
    <row r="13" ht="22" customHeight="1">
      <c r="A13" s="13" t="inlineStr">
        <is>
          <t>TOTAL VERIFICATION SUITE</t>
        </is>
      </c>
      <c r="B13" s="14" t="n">
        <v>22</v>
      </c>
      <c r="C13" s="14" t="n">
        <v>22</v>
      </c>
      <c r="D13" s="14" t="n">
        <v>0</v>
      </c>
      <c r="E13" s="15" t="inlineStr">
        <is>
          <t>22 Full HD 1080p WebM Files (100% Covered)</t>
        </is>
      </c>
    </row>
  </sheetData>
  <mergeCells count="12">
    <mergeCell ref="B5:D5"/>
    <mergeCell ref="E5:G5"/>
    <mergeCell ref="K4:M4"/>
    <mergeCell ref="H5:J5"/>
    <mergeCell ref="K5:M5"/>
    <mergeCell ref="B4:D4"/>
    <mergeCell ref="H4:J4"/>
    <mergeCell ref="K6:M6"/>
    <mergeCell ref="E4:G4"/>
    <mergeCell ref="B6:D6"/>
    <mergeCell ref="E6:G6"/>
    <mergeCell ref="H6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36" customWidth="1" min="4" max="4"/>
    <col width="26" customWidth="1" min="5" max="5"/>
    <col width="12" customWidth="1" min="6" max="6"/>
    <col width="12" customWidth="1" min="7" max="7"/>
    <col width="16" customWidth="1" min="8" max="8"/>
    <col width="14" customWidth="1" min="9" max="9"/>
    <col width="30" customWidth="1" min="10" max="10"/>
    <col width="32" customWidth="1" min="11" max="11"/>
    <col width="44" customWidth="1" min="12" max="12"/>
    <col width="42" customWidth="1" min="13" max="13"/>
    <col width="42" customWidth="1" min="14" max="14"/>
    <col width="30" customWidth="1" min="15" max="15"/>
    <col width="32" customWidth="1" min="16" max="16"/>
    <col width="16" customWidth="1" min="17" max="17"/>
    <col width="28" customWidth="1" min="18" max="18"/>
  </cols>
  <sheetData>
    <row r="1" ht="28" customHeight="1">
      <c r="A1" s="16" t="inlineStr">
        <is>
          <t>ID</t>
        </is>
      </c>
      <c r="B1" s="16" t="inlineStr">
        <is>
          <t>Scenario ID</t>
        </is>
      </c>
      <c r="C1" s="16" t="inlineStr">
        <is>
          <t>Pillar</t>
        </is>
      </c>
      <c r="D1" s="16" t="inlineStr">
        <is>
          <t>Title / Summary</t>
        </is>
      </c>
      <c r="E1" s="16" t="inlineStr">
        <is>
          <t>Test Suite</t>
        </is>
      </c>
      <c r="F1" s="16" t="inlineStr">
        <is>
          <t>Severity</t>
        </is>
      </c>
      <c r="G1" s="16" t="inlineStr">
        <is>
          <t>Priority</t>
        </is>
      </c>
      <c r="H1" s="16" t="inlineStr">
        <is>
          <t>Execution Status</t>
        </is>
      </c>
      <c r="I1" s="16" t="inlineStr">
        <is>
          <t>Test Type</t>
        </is>
      </c>
      <c r="J1" s="16" t="inlineStr">
        <is>
          <t>Preconditions</t>
        </is>
      </c>
      <c r="K1" s="16" t="inlineStr">
        <is>
          <t>Test Data / Payload</t>
        </is>
      </c>
      <c r="L1" s="16" t="inlineStr">
        <is>
          <t>Test Steps (Step-by-step)</t>
        </is>
      </c>
      <c r="M1" s="16" t="inlineStr">
        <is>
          <t>Expected Result (Per Spec/BR)</t>
        </is>
      </c>
      <c r="N1" s="16" t="inlineStr">
        <is>
          <t>Actual Result (Live Execution)</t>
        </is>
      </c>
      <c r="O1" s="16" t="inlineStr">
        <is>
          <t>1080p Video Evidence</t>
        </is>
      </c>
      <c r="P1" s="16" t="inlineStr">
        <is>
          <t>Video File Name</t>
        </is>
      </c>
      <c r="Q1" s="16" t="inlineStr">
        <is>
          <t>Video File Size</t>
        </is>
      </c>
      <c r="R1" s="16" t="inlineStr">
        <is>
          <t>Traceability</t>
        </is>
      </c>
    </row>
    <row r="2" ht="68" customHeight="1">
      <c r="A2" s="17" t="inlineStr">
        <is>
          <t>TC-FS03-SCH-BR-001</t>
        </is>
      </c>
      <c r="B2" s="18" t="inlineStr">
        <is>
          <t>TS-FS03-SCH-BR</t>
        </is>
      </c>
      <c r="C2" s="19" t="inlineStr">
        <is>
          <t>BR</t>
        </is>
      </c>
      <c r="D2" s="20" t="inlineStr">
        <is>
          <t>Verify MOE HQ Admin successfully creates a new School with unique MOE code, default Active status, 0 classes and 0 students</t>
        </is>
      </c>
      <c r="E2" s="21" t="inlineStr">
        <is>
          <t>School Master Data &amp; Lifecycle</t>
        </is>
      </c>
      <c r="F2" s="22" t="inlineStr">
        <is>
          <t>S2</t>
        </is>
      </c>
      <c r="G2" s="23" t="inlineStr">
        <is>
          <t>High</t>
        </is>
      </c>
      <c r="H2" s="24" t="inlineStr">
        <is>
          <t>Passed</t>
        </is>
      </c>
      <c r="I2" s="21" t="inlineStr">
        <is>
          <t>Functional</t>
        </is>
      </c>
      <c r="J2" s="25" t="inlineStr">
        <is>
          <t>MOE HQ Admin logged in; Unique MOE school code generated.</t>
        </is>
      </c>
      <c r="K2" s="26" t="inlineStr">
        <is>
          <t>MOE Code: 'SCH-E2E-XXXX' (unique), Name: 'End-to-End Test Academy', Type: 'Government', Level: 'PRI-1'</t>
        </is>
      </c>
      <c r="L2" s="27" t="inlineStr">
        <is>
          <t>1. Navigate to /school-management/new
2. Fill unique MOE school code
3. Fill School name
4. Select School type 'Government'
5. Select Academic level 'PRI-1'
6. Click [Create school]
7. Verify toast and list view</t>
        </is>
      </c>
      <c r="M2" s="27" t="inlineStr">
        <is>
          <t>1. School created in DB with is_active=true, 0 classes, 0 students
2. Toast 'School created: School created successfully.' displayed
3. Redirects to /school-management
4. New school rendered in table</t>
        </is>
      </c>
      <c r="N2" s="28" t="inlineStr">
        <is>
          <t>Verified: Toast popup confirmed, redirect successful, newly created school visible in table with Active status.</t>
        </is>
      </c>
      <c r="O2" s="29">
        <f>HYPERLINK("../../reports/fs03/fs03-school-create/test-results/RUN-20261025-87375D/tests-fs03-fs03-school-create-test_integration_school_create_br-py-test_tc_br001_successful_school_creation_e2e-chromium/video.webm", "🎬 Open 1080p Video")</f>
        <v/>
      </c>
      <c r="P2" s="30" t="inlineStr">
        <is>
          <t>tc_br001_successful_school_creation_e2e.webm</t>
        </is>
      </c>
      <c r="Q2" s="19" t="inlineStr">
        <is>
          <t>433.0 KB</t>
        </is>
      </c>
      <c r="R2" s="30" t="inlineStr">
        <is>
          <t>FS-03 §3.1 F01-AC01; BR-R3-01; BR-R3-02; TC-R3-F01-001</t>
        </is>
      </c>
    </row>
    <row r="3" ht="68" customHeight="1">
      <c r="A3" s="31" t="inlineStr">
        <is>
          <t>TC-FS03-SCH-BR-002</t>
        </is>
      </c>
      <c r="B3" s="32" t="inlineStr">
        <is>
          <t>TS-FS03-SCH-BR</t>
        </is>
      </c>
      <c r="C3" s="33" t="inlineStr">
        <is>
          <t>BR</t>
        </is>
      </c>
      <c r="D3" s="34" t="inlineStr">
        <is>
          <t>Verify system strictly rejects duplicate MOE school code with error alert 'Unable to create school' (HTTP 409 Conflict)</t>
        </is>
      </c>
      <c r="E3" s="35" t="inlineStr">
        <is>
          <t>School Master Data &amp; Lifecycle</t>
        </is>
      </c>
      <c r="F3" s="22" t="inlineStr">
        <is>
          <t>S2</t>
        </is>
      </c>
      <c r="G3" s="36" t="inlineStr">
        <is>
          <t>High</t>
        </is>
      </c>
      <c r="H3" s="24" t="inlineStr">
        <is>
          <t>Passed</t>
        </is>
      </c>
      <c r="I3" s="35" t="inlineStr">
        <is>
          <t>Negative</t>
        </is>
      </c>
      <c r="J3" s="37" t="inlineStr">
        <is>
          <t>School with MOE code 'qwe' already exists in schools table.</t>
        </is>
      </c>
      <c r="K3" s="38" t="inlineStr">
        <is>
          <t>MOE Code: 'qwe' (duplicate), Name: 'Duplicate Verification School', Type: 'Government', Level: 'PRI-1'</t>
        </is>
      </c>
      <c r="L3" s="39" t="inlineStr">
        <is>
          <t>1. Navigate to /school-management/new
2. Enter duplicate code 'qwe'
3. Fill Name, Type, Level
4. Click [Create school]
5. Inspect alert container</t>
        </is>
      </c>
      <c r="M3" s="39" t="inlineStr">
        <is>
          <t>1. Backend rejects request with HTTP 409 Conflict
2. Displays alert: 'Unable to create school / School with MOE code 'qwe' already exists.'
3. No duplicate record inserted</t>
        </is>
      </c>
      <c r="N3" s="40" t="inlineStr">
        <is>
          <t>Verified: Alert banner displayed with exact text 'Unable to create school / School with MOE code 'qwe' already exists.'</t>
        </is>
      </c>
      <c r="O3" s="41">
        <f>HYPERLINK("../../reports/fs03/fs03-school-create/test-results/RUN-20261025-87375D/tests-fs03-fs03-school-create-test_integration_school_create_br-py-test_tc_br002_duplicate_moe_school_code_rejected-chromium/video.webm", "🎬 Open 1080p Video")</f>
        <v/>
      </c>
      <c r="P3" s="42" t="inlineStr">
        <is>
          <t>tc_br002_duplicate_moe_school_code_rejected.webm</t>
        </is>
      </c>
      <c r="Q3" s="33" t="inlineStr">
        <is>
          <t>375.5 KB</t>
        </is>
      </c>
      <c r="R3" s="42" t="inlineStr">
        <is>
          <t>FS-03 §3.1 F01-AC02; BR-R3-01; E-03-09; TC-R3-F01-002</t>
        </is>
      </c>
    </row>
    <row r="4" ht="68" customHeight="1">
      <c r="A4" s="17" t="inlineStr">
        <is>
          <t>TC-FS03-SCH-AC-001</t>
        </is>
      </c>
      <c r="B4" s="18" t="inlineStr">
        <is>
          <t>TS-FS03-SCH-NAV</t>
        </is>
      </c>
      <c r="C4" s="19" t="inlineStr">
        <is>
          <t>AC</t>
        </is>
      </c>
      <c r="D4" s="20" t="inlineStr">
        <is>
          <t>Verify 'Cancel' button abandons creation and navigates back to School Management list without persisting data</t>
        </is>
      </c>
      <c r="E4" s="21" t="inlineStr">
        <is>
          <t>Navigation &amp; Form Actions</t>
        </is>
      </c>
      <c r="F4" s="24" t="inlineStr">
        <is>
          <t>S3</t>
        </is>
      </c>
      <c r="G4" s="43" t="inlineStr">
        <is>
          <t>Medium</t>
        </is>
      </c>
      <c r="H4" s="24" t="inlineStr">
        <is>
          <t>Passed</t>
        </is>
      </c>
      <c r="I4" s="21" t="inlineStr">
        <is>
          <t>UI</t>
        </is>
      </c>
      <c r="J4" s="25" t="inlineStr">
        <is>
          <t>MOE HQ Admin on /school-management/new with dirty form.</t>
        </is>
      </c>
      <c r="K4" s="26" t="inlineStr">
        <is>
          <t>MOE Code: 'CANCEL-01', Name: 'Cancelled School'</t>
        </is>
      </c>
      <c r="L4" s="27" t="inlineStr">
        <is>
          <t>1. Enter partial data
2. Click [Cancel] button
3. Verify browser URL and table rows</t>
        </is>
      </c>
      <c r="M4" s="27" t="inlineStr">
        <is>
          <t>1. Navigates back to /school-management
2. Zero records inserted into database
3. Cancelled school not in table</t>
        </is>
      </c>
      <c r="N4" s="28" t="inlineStr">
        <is>
          <t>Verified: Page navigates to /school-management, 0 database insertions.</t>
        </is>
      </c>
      <c r="O4" s="29">
        <f>HYPERLINK("../../reports/fs03/fs03-school-create/test-results/RUN-20261025-87375D/tests-fs03-fs03-school-create-test-atomic-school-create-ac-py-test-tc-ac001-cancel-button-navigates-back-chromium/video.webm", "🎬 Open 1080p Video")</f>
        <v/>
      </c>
      <c r="P4" s="30" t="inlineStr">
        <is>
          <t>tc_ac001_cancel_button_navigates_back.webm</t>
        </is>
      </c>
      <c r="Q4" s="19" t="inlineStr">
        <is>
          <t>309.3 KB</t>
        </is>
      </c>
      <c r="R4" s="30" t="inlineStr">
        <is>
          <t>FS-03 §3.1 F01; UI Spec</t>
        </is>
      </c>
    </row>
    <row r="5" ht="68" customHeight="1">
      <c r="A5" s="31" t="inlineStr">
        <is>
          <t>TC-FS03-SCH-AC-002</t>
        </is>
      </c>
      <c r="B5" s="32" t="inlineStr">
        <is>
          <t>TS-FS03-SCH-VAL</t>
        </is>
      </c>
      <c r="C5" s="33" t="inlineStr">
        <is>
          <t>AC</t>
        </is>
      </c>
      <c r="D5" s="34" t="inlineStr">
        <is>
          <t>Verify clicking 'Create school' with pristine empty form triggers summary error banner 'Please correct the errors below.'</t>
        </is>
      </c>
      <c r="E5" s="35" t="inlineStr">
        <is>
          <t>Form Validation &amp; Feedback</t>
        </is>
      </c>
      <c r="F5" s="22" t="inlineStr">
        <is>
          <t>S2</t>
        </is>
      </c>
      <c r="G5" s="36" t="inlineStr">
        <is>
          <t>High</t>
        </is>
      </c>
      <c r="H5" s="24" t="inlineStr">
        <is>
          <t>Passed</t>
        </is>
      </c>
      <c r="I5" s="35" t="inlineStr">
        <is>
          <t>Validation</t>
        </is>
      </c>
      <c r="J5" s="37" t="inlineStr">
        <is>
          <t>MOE HQ Admin on /school-management/new with pristine empty form.</t>
        </is>
      </c>
      <c r="K5" s="38" t="inlineStr">
        <is>
          <t>All inputs empty</t>
        </is>
      </c>
      <c r="L5" s="39" t="inlineStr">
        <is>
          <t>1. Load /school-management/new
2. Click [Create school] with empty form
3. Inspect top of School details section</t>
        </is>
      </c>
      <c r="M5" s="39" t="inlineStr">
        <is>
          <t>1. Summary banner appears: 'Please correct the errors below.'
2. Lists all 4 required field failures
3. Form submission halted</t>
        </is>
      </c>
      <c r="N5" s="40" t="inlineStr">
        <is>
          <t>Verified: Summary banner 'Please correct the errors below.' displayed with all 4 required field error bullets.</t>
        </is>
      </c>
      <c r="O5" s="41">
        <f>HYPERLINK("../../reports/fs03/fs03-school-create/test-results/RUN-20261025-87375D/tests-fs03-fs03-school-create-test-atomic-school-create-ac-py-test-tc-ac002-empty-form-submission-triggers-summary-error-banner-chromium/video.webm", "🎬 Open 1080p Video")</f>
        <v/>
      </c>
      <c r="P5" s="42" t="inlineStr">
        <is>
          <t>tc_ac002_empty_form_submission_triggers_summary_error_banner.webm</t>
        </is>
      </c>
      <c r="Q5" s="33" t="inlineStr">
        <is>
          <t>213.0 KB</t>
        </is>
      </c>
      <c r="R5" s="42" t="inlineStr">
        <is>
          <t>FS-03 §3.1 F01; UI Spec Form Validation</t>
        </is>
      </c>
    </row>
    <row r="6" ht="68" customHeight="1">
      <c r="A6" s="17" t="inlineStr">
        <is>
          <t>TC-FS03-SCH-AC-003</t>
        </is>
      </c>
      <c r="B6" s="18" t="inlineStr">
        <is>
          <t>TS-FS03-SCH-COD</t>
        </is>
      </c>
      <c r="C6" s="19" t="inlineStr">
        <is>
          <t>AC</t>
        </is>
      </c>
      <c r="D6" s="20" t="inlineStr">
        <is>
          <t>Verify inline error under MOE school code displays 'MOE school code is required.' when submitted empty</t>
        </is>
      </c>
      <c r="E6" s="21" t="inlineStr">
        <is>
          <t>Form Validation &amp; Feedback</t>
        </is>
      </c>
      <c r="F6" s="22" t="inlineStr">
        <is>
          <t>S2</t>
        </is>
      </c>
      <c r="G6" s="23" t="inlineStr">
        <is>
          <t>High</t>
        </is>
      </c>
      <c r="H6" s="24" t="inlineStr">
        <is>
          <t>Passed</t>
        </is>
      </c>
      <c r="I6" s="21" t="inlineStr">
        <is>
          <t>Validation</t>
        </is>
      </c>
      <c r="J6" s="25" t="inlineStr">
        <is>
          <t>MOE HQ Admin on /school-management/new.</t>
        </is>
      </c>
      <c r="K6" s="26" t="inlineStr">
        <is>
          <t>MOE Code: '', Name: 'Sample School', Type: 'Government', Level: 'PRI-1'</t>
        </is>
      </c>
      <c r="L6" s="27" t="inlineStr">
        <is>
          <t>1. Leave MOE school code empty
2. Fill Name, Type, Level
3. Click [Create school]
4. Inspect error beneath code input</t>
        </is>
      </c>
      <c r="M6" s="27" t="inlineStr">
        <is>
          <t>1. Inline error 'MOE school code is required.' renders beneath input
2. Input has aria-invalid='true' and red border</t>
        </is>
      </c>
      <c r="N6" s="28" t="inlineStr">
        <is>
          <t>Verified: Inline error 'MOE school code is required.' and aria-invalid='true' confirmed.</t>
        </is>
      </c>
      <c r="O6" s="29">
        <f>HYPERLINK("../../reports/fs03/fs03-school-create/test-results/RUN-20261025-87375D/tests-fs03-fs03-school-create-test-atomic-school-create-ac-py-test-tc-ac003-empty-moe-school-code-triggers-inline-error-chromium/video.webm", "🎬 Open 1080p Video")</f>
        <v/>
      </c>
      <c r="P6" s="30" t="inlineStr">
        <is>
          <t>tc_ac003_empty_moe_school_code_triggers_inline_error.webm</t>
        </is>
      </c>
      <c r="Q6" s="19" t="inlineStr">
        <is>
          <t>336.2 KB</t>
        </is>
      </c>
      <c r="R6" s="30" t="inlineStr">
        <is>
          <t>FS-03 §3.1 F01; UI Spec</t>
        </is>
      </c>
    </row>
    <row r="7" ht="68" customHeight="1">
      <c r="A7" s="31" t="inlineStr">
        <is>
          <t>TC-FS03-SCH-AC-004</t>
        </is>
      </c>
      <c r="B7" s="32" t="inlineStr">
        <is>
          <t>TS-FS03-SCH-NAM</t>
        </is>
      </c>
      <c r="C7" s="33" t="inlineStr">
        <is>
          <t>AC</t>
        </is>
      </c>
      <c r="D7" s="34" t="inlineStr">
        <is>
          <t>Verify inline error under School name displays 'School name is required.' when submitted empty</t>
        </is>
      </c>
      <c r="E7" s="35" t="inlineStr">
        <is>
          <t>Form Validation &amp; Feedback</t>
        </is>
      </c>
      <c r="F7" s="22" t="inlineStr">
        <is>
          <t>S2</t>
        </is>
      </c>
      <c r="G7" s="36" t="inlineStr">
        <is>
          <t>High</t>
        </is>
      </c>
      <c r="H7" s="24" t="inlineStr">
        <is>
          <t>Passed</t>
        </is>
      </c>
      <c r="I7" s="35" t="inlineStr">
        <is>
          <t>Validation</t>
        </is>
      </c>
      <c r="J7" s="37" t="inlineStr">
        <is>
          <t>MOE HQ Admin on /school-management/new.</t>
        </is>
      </c>
      <c r="K7" s="38" t="inlineStr">
        <is>
          <t>MOE Code: 'SCH-TEST-01', Name: '', Type: 'Government', Level: 'PRI-1'</t>
        </is>
      </c>
      <c r="L7" s="39" t="inlineStr">
        <is>
          <t>1. Fill MOE code, Type, Level
2. Leave School name empty
3. Click [Create school]
4. Inspect error beneath name input</t>
        </is>
      </c>
      <c r="M7" s="39" t="inlineStr">
        <is>
          <t>1. Inline error 'School name is required.' renders beneath input
2. Input has aria-invalid='true' and red border</t>
        </is>
      </c>
      <c r="N7" s="40" t="inlineStr">
        <is>
          <t>Verified: Inline error 'School name is required.' and aria-invalid='true' confirmed.</t>
        </is>
      </c>
      <c r="O7" s="41">
        <f>HYPERLINK("../../reports/fs03/fs03-school-create/test-results/RUN-20261025-87375D/tests-fs03-fs03-school-create-test_atomic_school_create_ac-py-test_tc_ac004_empty_school_name_triggers_inline_error-chromium/video.webm", "🎬 Open 1080p Video")</f>
        <v/>
      </c>
      <c r="P7" s="42" t="inlineStr">
        <is>
          <t>tc_ac004_empty_school_name_triggers_inline_error.webm</t>
        </is>
      </c>
      <c r="Q7" s="33" t="inlineStr">
        <is>
          <t>307.3 KB</t>
        </is>
      </c>
      <c r="R7" s="42" t="inlineStr">
        <is>
          <t>FS-03 §3.1 F01; UI Spec</t>
        </is>
      </c>
    </row>
    <row r="8" ht="68" customHeight="1">
      <c r="A8" s="17" t="inlineStr">
        <is>
          <t>TC-FS03-SCH-AC-005</t>
        </is>
      </c>
      <c r="B8" s="18" t="inlineStr">
        <is>
          <t>TS-FS03-SCH-TYP</t>
        </is>
      </c>
      <c r="C8" s="19" t="inlineStr">
        <is>
          <t>AC</t>
        </is>
      </c>
      <c r="D8" s="20" t="inlineStr">
        <is>
          <t>Verify inline error under School type displays 'Select a school type.' when unselected placeholder is submitted</t>
        </is>
      </c>
      <c r="E8" s="21" t="inlineStr">
        <is>
          <t>Form Validation &amp; Feedback</t>
        </is>
      </c>
      <c r="F8" s="22" t="inlineStr">
        <is>
          <t>S2</t>
        </is>
      </c>
      <c r="G8" s="23" t="inlineStr">
        <is>
          <t>High</t>
        </is>
      </c>
      <c r="H8" s="24" t="inlineStr">
        <is>
          <t>Passed</t>
        </is>
      </c>
      <c r="I8" s="21" t="inlineStr">
        <is>
          <t>Validation</t>
        </is>
      </c>
      <c r="J8" s="25" t="inlineStr">
        <is>
          <t>MOE HQ Admin on /school-management/new.</t>
        </is>
      </c>
      <c r="K8" s="26" t="inlineStr">
        <is>
          <t>MOE Code: 'SCH-TEST-02', Name: 'Sample Academy', Type: '' (placeholder), Level: 'PRI-1'</t>
        </is>
      </c>
      <c r="L8" s="27" t="inlineStr">
        <is>
          <t>1. Fill Code, Name, Level
2. Leave School type at placeholder
3. Click [Create school]
4. Inspect error beneath dropdown</t>
        </is>
      </c>
      <c r="M8" s="27" t="inlineStr">
        <is>
          <t>1. Inline error 'Select a school type.' renders beneath dropdown
2. Dropdown highlighted with validation error</t>
        </is>
      </c>
      <c r="N8" s="28" t="inlineStr">
        <is>
          <t>Verified: Inline error 'Select a school type.' displayed beneath select control.</t>
        </is>
      </c>
      <c r="O8" s="29">
        <f>HYPERLINK("../../reports/fs03/fs03-school-create/test-results/RUN-20261025-87375D/tests-fs03-fs03-school-create-test-atomic-school-create-ac-py-test-tc-ac005-unselected-school-type-triggers-inline-error-chromium/video.webm", "🎬 Open 1080p Video")</f>
        <v/>
      </c>
      <c r="P8" s="30" t="inlineStr">
        <is>
          <t>tc_ac005_unselected_school_type_triggers_inline_error.webm</t>
        </is>
      </c>
      <c r="Q8" s="19" t="inlineStr">
        <is>
          <t>325.5 KB</t>
        </is>
      </c>
      <c r="R8" s="30" t="inlineStr">
        <is>
          <t>FS-03 §3.1 F01; UI Spec</t>
        </is>
      </c>
    </row>
    <row r="9" ht="68" customHeight="1">
      <c r="A9" s="31" t="inlineStr">
        <is>
          <t>TC-FS03-SCH-AC-006</t>
        </is>
      </c>
      <c r="B9" s="32" t="inlineStr">
        <is>
          <t>TS-FS03-SCH-LVL</t>
        </is>
      </c>
      <c r="C9" s="33" t="inlineStr">
        <is>
          <t>AC</t>
        </is>
      </c>
      <c r="D9" s="34" t="inlineStr">
        <is>
          <t>Verify inline error under Academic levels displays 'Select at least one academic level.' when 0 levels selected</t>
        </is>
      </c>
      <c r="E9" s="35" t="inlineStr">
        <is>
          <t>Form Validation &amp; Feedback</t>
        </is>
      </c>
      <c r="F9" s="22" t="inlineStr">
        <is>
          <t>S2</t>
        </is>
      </c>
      <c r="G9" s="36" t="inlineStr">
        <is>
          <t>High</t>
        </is>
      </c>
      <c r="H9" s="24" t="inlineStr">
        <is>
          <t>Passed</t>
        </is>
      </c>
      <c r="I9" s="35" t="inlineStr">
        <is>
          <t>Validation</t>
        </is>
      </c>
      <c r="J9" s="37" t="inlineStr">
        <is>
          <t>MOE HQ Admin on /school-management/new.</t>
        </is>
      </c>
      <c r="K9" s="38" t="inlineStr">
        <is>
          <t>MOE Code: 'SCH-TEST-03', Name: 'Sample Institute', Type: 'Government', Levels: 0 selected</t>
        </is>
      </c>
      <c r="L9" s="39" t="inlineStr">
        <is>
          <t>1. Fill Code, Name, Type
2. Leave Academic levels with 0 selected
3. Click [Create school]
4. Inspect error beneath combobox</t>
        </is>
      </c>
      <c r="M9" s="39" t="inlineStr">
        <is>
          <t>1. Inline error 'Select at least one academic level.' renders beneath combobox
2. Combobox highlighted with error border</t>
        </is>
      </c>
      <c r="N9" s="40" t="inlineStr">
        <is>
          <t>Verified: Inline error 'Select at least one academic level.' rendered directly beneath combobox.</t>
        </is>
      </c>
      <c r="O9" s="41">
        <f>HYPERLINK("../../reports/fs03/fs03-school-create/test-results/RUN-20261025-87375D/tests-fs03-fs03-school-create-test_atomic_school_create_ac-py-test_tc_ac006_unselected_academic_levels_triggers_inline_error-chromium/video.webm", "🎬 Open 1080p Video")</f>
        <v/>
      </c>
      <c r="P9" s="42" t="inlineStr">
        <is>
          <t>tc_ac006_unselected_academic_levels_triggers_inline_error.webm</t>
        </is>
      </c>
      <c r="Q9" s="33" t="inlineStr">
        <is>
          <t>363.3 KB</t>
        </is>
      </c>
      <c r="R9" s="42" t="inlineStr">
        <is>
          <t>FS-03 §3.1 F01; F03; UI Spec</t>
        </is>
      </c>
    </row>
    <row r="10" ht="68" customHeight="1">
      <c r="A10" s="17" t="inlineStr">
        <is>
          <t>TC-FS03-SCH-AC-007</t>
        </is>
      </c>
      <c r="B10" s="18" t="inlineStr">
        <is>
          <t>TS-FS03-SCH-VAL</t>
        </is>
      </c>
      <c r="C10" s="19" t="inlineStr">
        <is>
          <t>AC</t>
        </is>
      </c>
      <c r="D10" s="20" t="inlineStr">
        <is>
          <t>Verify inline validation errors and red borders automatically clear when valid input is entered (Auto-dismissal)</t>
        </is>
      </c>
      <c r="E10" s="21" t="inlineStr">
        <is>
          <t>Form Validation &amp; Feedback</t>
        </is>
      </c>
      <c r="F10" s="24" t="inlineStr">
        <is>
          <t>S3</t>
        </is>
      </c>
      <c r="G10" s="43" t="inlineStr">
        <is>
          <t>Medium</t>
        </is>
      </c>
      <c r="H10" s="24" t="inlineStr">
        <is>
          <t>Passed</t>
        </is>
      </c>
      <c r="I10" s="21" t="inlineStr">
        <is>
          <t>UI</t>
        </is>
      </c>
      <c r="J10" s="25" t="inlineStr">
        <is>
          <t>Form in error state after empty submission.</t>
        </is>
      </c>
      <c r="K10" s="26" t="inlineStr">
        <is>
          <t>Enter valid code 'SCH-DISMISS-01' and name 'Auto Dismissal School'</t>
        </is>
      </c>
      <c r="L10" s="27" t="inlineStr">
        <is>
          <t>1. Trigger errors
2. Type valid code into #school-moeSchoolCode
3. Observe inline error under code
4. Type valid name into #school-name
5. Observe inline error under name</t>
        </is>
      </c>
      <c r="M10" s="27" t="inlineStr">
        <is>
          <t>1. Error messages disappear immediately upon typing valid values
2. aria-invalid resets to 'false'
3. Red borders removed</t>
        </is>
      </c>
      <c r="N10" s="28" t="inlineStr">
        <is>
          <t>Verified: Inline errors auto-dismiss immediately and aria-invalid resets to 'false'.</t>
        </is>
      </c>
      <c r="O10" s="29">
        <f>HYPERLINK("../../reports/fs03/fs03-school-create/test-results/RUN-20261025-87375D/tests-fs03-fs03-school-create-test-atomic-school-create-ac-py-test-tc-ac007-inline-errors-clear-when-valid-input-entered-chromium/video.webm", "🎬 Open 1080p Video")</f>
        <v/>
      </c>
      <c r="P10" s="30" t="inlineStr">
        <is>
          <t>tc_ac007_inline_errors_clear_when_valid_input_entered.webm</t>
        </is>
      </c>
      <c r="Q10" s="19" t="inlineStr">
        <is>
          <t>319.3 KB</t>
        </is>
      </c>
      <c r="R10" s="30" t="inlineStr">
        <is>
          <t>Rule 02 Lớp 11; UI Spec</t>
        </is>
      </c>
    </row>
    <row r="11" ht="68" customHeight="1">
      <c r="A11" s="31" t="inlineStr">
        <is>
          <t>TC-FS03-SCH-AC-008</t>
        </is>
      </c>
      <c r="B11" s="32" t="inlineStr">
        <is>
          <t>TS-FS03-SCH-LVL</t>
        </is>
      </c>
      <c r="C11" s="33" t="inlineStr">
        <is>
          <t>AC</t>
        </is>
      </c>
      <c r="D11" s="34" t="inlineStr">
        <is>
          <t>Verify selecting academic levels adds visible chips and updates selected counter text (e.g. '1 selected')</t>
        </is>
      </c>
      <c r="E11" s="35" t="inlineStr">
        <is>
          <t>Academic Levels Multi-Select</t>
        </is>
      </c>
      <c r="F11" s="24" t="inlineStr">
        <is>
          <t>S3</t>
        </is>
      </c>
      <c r="G11" s="44" t="inlineStr">
        <is>
          <t>Medium</t>
        </is>
      </c>
      <c r="H11" s="24" t="inlineStr">
        <is>
          <t>Passed</t>
        </is>
      </c>
      <c r="I11" s="35" t="inlineStr">
        <is>
          <t>UI</t>
        </is>
      </c>
      <c r="J11" s="37" t="inlineStr">
        <is>
          <t>MOE HQ Admin on /school-management/new.</t>
        </is>
      </c>
      <c r="K11" s="38" t="inlineStr">
        <is>
          <t>Select 'PRI-1 - Primary 1'</t>
        </is>
      </c>
      <c r="L11" s="39" t="inlineStr">
        <is>
          <t>1. Click #school-academicLevels combobox
2. Select 'PRI-1 - Primary 1'
3. Press Escape to close listbox
4. Inspect chip and counter text</t>
        </is>
      </c>
      <c r="M11" s="39" t="inlineStr">
        <is>
          <t>1. Chip 'PRI-1 - Primary 1' appears inside input container
2. Counter text updates from '0 selected' to '1 selected'</t>
        </is>
      </c>
      <c r="N11" s="40" t="inlineStr">
        <is>
          <t>Verified: Chip rendered cleanly and counter '#school-academicLevels-selected' reads '1 selected'.</t>
        </is>
      </c>
      <c r="O11" s="41">
        <f>HYPERLINK("../../reports/fs03/fs03-school-create/test-results/RUN-20261025-87375D/tests-fs03-fs03-school-create-test_atomic_school_create_ac-py-test_tc_ac008_selecting_academic_levels_adds_chips_and_updates_counter-chromium/video.webm", "🎬 Open 1080p Video")</f>
        <v/>
      </c>
      <c r="P11" s="42" t="inlineStr">
        <is>
          <t>tc_ac008_selecting_academic_levels_adds_chips_and_updates_counter.webm</t>
        </is>
      </c>
      <c r="Q11" s="33" t="inlineStr">
        <is>
          <t>269.4 KB</t>
        </is>
      </c>
      <c r="R11" s="42" t="inlineStr">
        <is>
          <t>FS-03 §3.1 F01; UI Spec</t>
        </is>
      </c>
    </row>
    <row r="12" ht="68" customHeight="1">
      <c r="A12" s="17" t="inlineStr">
        <is>
          <t>TC-FS03-SCH-AC-010</t>
        </is>
      </c>
      <c r="B12" s="18" t="inlineStr">
        <is>
          <t>TS-FS03-SCH-USR</t>
        </is>
      </c>
      <c r="C12" s="19" t="inlineStr">
        <is>
          <t>AC</t>
        </is>
      </c>
      <c r="D12" s="20" t="inlineStr">
        <is>
          <t>Verify selecting optional school users adds user chips and updates counter</t>
        </is>
      </c>
      <c r="E12" s="21" t="inlineStr">
        <is>
          <t>School Users Assignment</t>
        </is>
      </c>
      <c r="F12" s="24" t="inlineStr">
        <is>
          <t>S3</t>
        </is>
      </c>
      <c r="G12" s="43" t="inlineStr">
        <is>
          <t>Medium</t>
        </is>
      </c>
      <c r="H12" s="24" t="inlineStr">
        <is>
          <t>Passed</t>
        </is>
      </c>
      <c r="I12" s="21" t="inlineStr">
        <is>
          <t>UI</t>
        </is>
      </c>
      <c r="J12" s="25" t="inlineStr">
        <is>
          <t>MOE HQ Admin on /school-management/new; Active school users in database.</t>
        </is>
      </c>
      <c r="K12" s="26" t="inlineStr">
        <is>
          <t>Select first available user</t>
        </is>
      </c>
      <c r="L12" s="27" t="inlineStr">
        <is>
          <t>1. Click #school-schoolUsers combobox
2. Select available user option
3. Press Escape to close listbox
4. Inspect chip and counter text</t>
        </is>
      </c>
      <c r="M12" s="27" t="inlineStr">
        <is>
          <t>1. User chip rendered with user display name
2. Counter updates to '1 selected'</t>
        </is>
      </c>
      <c r="N12" s="28" t="inlineStr">
        <is>
          <t>Verified: School user chip rendered and counter updated properly.</t>
        </is>
      </c>
      <c r="O12" s="29">
        <f>HYPERLINK("../../reports/fs03/fs03-school-create/test-results/RUN-20261025-87375D/tests-fs03-fs03-school-create-test_atomic_school_create_ac-py-test_tc_ac010_selecting_school_user_adds_chip_and_updates_counter-chromium/video.webm", "🎬 Open 1080p Video")</f>
        <v/>
      </c>
      <c r="P12" s="30" t="inlineStr">
        <is>
          <t>tc_ac010_selecting_school_user_adds_chip_and_updates_counter.webm</t>
        </is>
      </c>
      <c r="Q12" s="19" t="inlineStr">
        <is>
          <t>220.4 KB</t>
        </is>
      </c>
      <c r="R12" s="30" t="inlineStr">
        <is>
          <t>FS-03 §3.1 F01; §3.2 F02</t>
        </is>
      </c>
    </row>
    <row r="13" ht="68" customHeight="1">
      <c r="A13" s="31" t="inlineStr">
        <is>
          <t>TC-FS03-SCH-COD-002</t>
        </is>
      </c>
      <c r="B13" s="32" t="inlineStr">
        <is>
          <t>TS-FS03-SCH-COD</t>
        </is>
      </c>
      <c r="C13" s="33" t="inlineStr">
        <is>
          <t>TECH_UI</t>
        </is>
      </c>
      <c r="D13" s="34" t="inlineStr">
        <is>
          <t>Verify MOE school code all-whitespace input is treated as empty per ASM-15 and triggers required error</t>
        </is>
      </c>
      <c r="E13" s="35" t="inlineStr">
        <is>
          <t>MOE School Code Matrix</t>
        </is>
      </c>
      <c r="F13" s="22" t="inlineStr">
        <is>
          <t>S2</t>
        </is>
      </c>
      <c r="G13" s="36" t="inlineStr">
        <is>
          <t>High</t>
        </is>
      </c>
      <c r="H13" s="24" t="inlineStr">
        <is>
          <t>Passed</t>
        </is>
      </c>
      <c r="I13" s="35" t="inlineStr">
        <is>
          <t>Negative</t>
        </is>
      </c>
      <c r="J13" s="37" t="inlineStr">
        <is>
          <t>MOE HQ Admin on /school-management/new.</t>
        </is>
      </c>
      <c r="K13" s="38" t="inlineStr">
        <is>
          <t>MOE Code: '     ' (spaces only)</t>
        </is>
      </c>
      <c r="L13" s="39" t="inlineStr">
        <is>
          <t>1. Type only spaces into MOE school code
2. Fill Name, Type, Level
3. Click [Create school]
4. Inspect validation error</t>
        </is>
      </c>
      <c r="M13" s="39" t="inlineStr">
        <is>
          <t>1. Whitespace trimmed and field evaluated as empty
2. Displays 'MOE school code is required.'
3. Submission blocked</t>
        </is>
      </c>
      <c r="N13" s="40" t="inlineStr">
        <is>
          <t>Verified: All-whitespace MOE code treated as empty, triggering 'MOE school code is required.' per ASM-15.</t>
        </is>
      </c>
      <c r="O13" s="41">
        <f>HYPERLINK("../../reports/fs03/fs03-school-create/test-results/RUN-20261025-87375D/tests-fs03-fs03-school-create-test-atomic-school-create-tech-ui-py-test-tc-cod002-all-whitespace-moe-code-triggers-required-error-chromium/video.webm", "🎬 Open 1080p Video")</f>
        <v/>
      </c>
      <c r="P13" s="42" t="inlineStr">
        <is>
          <t>tc_cod002_all_whitespace_moe_code_triggers_required_error.webm</t>
        </is>
      </c>
      <c r="Q13" s="33" t="inlineStr">
        <is>
          <t>349.2 KB</t>
        </is>
      </c>
      <c r="R13" s="42" t="inlineStr">
        <is>
          <t>Rule 02 Lớp 3; ASM-15</t>
        </is>
      </c>
    </row>
    <row r="14" ht="68" customHeight="1">
      <c r="A14" s="17" t="inlineStr">
        <is>
          <t>TC-FS03-SCH-COD-004</t>
        </is>
      </c>
      <c r="B14" s="18" t="inlineStr">
        <is>
          <t>TS-FS03-SCH-COD</t>
        </is>
      </c>
      <c r="C14" s="19" t="inlineStr">
        <is>
          <t>TECH_UI</t>
        </is>
      </c>
      <c r="D14" s="20" t="inlineStr">
        <is>
          <t>Verify MOE school code accepts valid alphanumeric and hyphenated patterns (e.g. HCI-0102, MPS-0301)</t>
        </is>
      </c>
      <c r="E14" s="21" t="inlineStr">
        <is>
          <t>MOE School Code Matrix</t>
        </is>
      </c>
      <c r="F14" s="24" t="inlineStr">
        <is>
          <t>S3</t>
        </is>
      </c>
      <c r="G14" s="43" t="inlineStr">
        <is>
          <t>Medium</t>
        </is>
      </c>
      <c r="H14" s="24" t="inlineStr">
        <is>
          <t>Passed</t>
        </is>
      </c>
      <c r="I14" s="21" t="inlineStr">
        <is>
          <t>Functional</t>
        </is>
      </c>
      <c r="J14" s="25" t="inlineStr">
        <is>
          <t>MOE HQ Admin on /school-management/new.</t>
        </is>
      </c>
      <c r="K14" s="26" t="inlineStr">
        <is>
          <t>Codes: 'HCI-0102', 'MPS-0301', 'NYPS-0202'</t>
        </is>
      </c>
      <c r="L14" s="27" t="inlineStr">
        <is>
          <t>1. Enter Singapore school code patterns
2. Verify input value acceptance</t>
        </is>
      </c>
      <c r="M14" s="27" t="inlineStr">
        <is>
          <t>1. Alphanumeric strings with uppercase letters, numbers, and hyphens accepted cleanly</t>
        </is>
      </c>
      <c r="N14" s="28" t="inlineStr">
        <is>
          <t>Verified: Singapore MOE school code formats accepted without validation rejection.</t>
        </is>
      </c>
      <c r="O14" s="29">
        <f>HYPERLINK("../../reports/fs03/fs03-school-create/test-results/RUN-20261025-87375D/tests-fs03-fs03-school-create-test_atomic_school_create_tech_ui-py-test_tc_cod004_alphanumeric_school_code_format-chromium/video.webm", "🎬 Open 1080p Video")</f>
        <v/>
      </c>
      <c r="P14" s="30" t="inlineStr">
        <is>
          <t>tc_cod004_alphanumeric_school_code_format.webm</t>
        </is>
      </c>
      <c r="Q14" s="19" t="inlineStr">
        <is>
          <t>219.1 KB</t>
        </is>
      </c>
      <c r="R14" s="30" t="inlineStr">
        <is>
          <t>Rule 02 Nhóm 3; FS-03 §3.1 F01</t>
        </is>
      </c>
    </row>
    <row r="15" ht="68" customHeight="1">
      <c r="A15" s="31" t="inlineStr">
        <is>
          <t>TC-FS03-SCH-COD-007</t>
        </is>
      </c>
      <c r="B15" s="32" t="inlineStr">
        <is>
          <t>TS-FS03-SCH-COD</t>
        </is>
      </c>
      <c r="C15" s="33" t="inlineStr">
        <is>
          <t>TECH_UI</t>
        </is>
      </c>
      <c r="D15" s="34" t="inlineStr">
        <is>
          <t>Verify XSS injection payload in MOE school code is sanitized and rendered safely as plain text</t>
        </is>
      </c>
      <c r="E15" s="35" t="inlineStr">
        <is>
          <t>MOE School Code Matrix</t>
        </is>
      </c>
      <c r="F15" s="45" t="inlineStr">
        <is>
          <t>S1</t>
        </is>
      </c>
      <c r="G15" s="36" t="inlineStr">
        <is>
          <t>Critical</t>
        </is>
      </c>
      <c r="H15" s="24" t="inlineStr">
        <is>
          <t>Passed</t>
        </is>
      </c>
      <c r="I15" s="35" t="inlineStr">
        <is>
          <t>Security</t>
        </is>
      </c>
      <c r="J15" s="37" t="inlineStr">
        <is>
          <t>MOE HQ Admin on /school-management/new; Dialog listener attached.</t>
        </is>
      </c>
      <c r="K15" s="38" t="inlineStr">
        <is>
          <t>MOE Code: `&lt;script&gt;alert('xss-code')&lt;/script&gt;`</t>
        </is>
      </c>
      <c r="L15" s="39" t="inlineStr">
        <is>
          <t>1. Enter XSS payload into MOE school code
2. Submit form
3. Verify zero unhandled dialog execution</t>
        </is>
      </c>
      <c r="M15" s="39" t="inlineStr">
        <is>
          <t>1. HTML entities encoded
2. Zero JavaScript execution
3. Zero alert dialogs triggered</t>
        </is>
      </c>
      <c r="N15" s="40" t="inlineStr">
        <is>
          <t>Verified: React JSX auto-escapes payload; 0 dialogs triggered, no unhandled script execution.</t>
        </is>
      </c>
      <c r="O15" s="41">
        <f>HYPERLINK("../../reports/fs03/fs03-school-create/test-results/RUN-20261025-87375D/tests-fs03-fs03-school-create-test-atomic-school-create-tech-ui-py-test-tc-cod007-xss-injection-in-moe-code-is-sanitized-chromium/video.webm", "🎬 Open 1080p Video")</f>
        <v/>
      </c>
      <c r="P15" s="42" t="inlineStr">
        <is>
          <t>tc_cod007_xss_injection_in_moe_code_is_sanitized.webm</t>
        </is>
      </c>
      <c r="Q15" s="33" t="inlineStr">
        <is>
          <t>292.2 KB</t>
        </is>
      </c>
      <c r="R15" s="42" t="inlineStr">
        <is>
          <t>Rule 02 Lớp 10; OWASP Top 10 A3</t>
        </is>
      </c>
    </row>
    <row r="16" ht="68" customHeight="1">
      <c r="A16" s="17" t="inlineStr">
        <is>
          <t>TC-FS03-SCH-NAM-002</t>
        </is>
      </c>
      <c r="B16" s="18" t="inlineStr">
        <is>
          <t>TS-FS03-SCH-NAM</t>
        </is>
      </c>
      <c r="C16" s="19" t="inlineStr">
        <is>
          <t>TECH_UI</t>
        </is>
      </c>
      <c r="D16" s="20" t="inlineStr">
        <is>
          <t>Verify School name all-whitespace input is treated as empty per ASM-15 and triggers required error</t>
        </is>
      </c>
      <c r="E16" s="21" t="inlineStr">
        <is>
          <t>School Name Matrix</t>
        </is>
      </c>
      <c r="F16" s="22" t="inlineStr">
        <is>
          <t>S2</t>
        </is>
      </c>
      <c r="G16" s="23" t="inlineStr">
        <is>
          <t>High</t>
        </is>
      </c>
      <c r="H16" s="24" t="inlineStr">
        <is>
          <t>Passed</t>
        </is>
      </c>
      <c r="I16" s="21" t="inlineStr">
        <is>
          <t>Negative</t>
        </is>
      </c>
      <c r="J16" s="25" t="inlineStr">
        <is>
          <t>MOE HQ Admin on /school-management/new.</t>
        </is>
      </c>
      <c r="K16" s="26" t="inlineStr">
        <is>
          <t>School Name: '        ' (spaces only)</t>
        </is>
      </c>
      <c r="L16" s="27" t="inlineStr">
        <is>
          <t>1. Enter MOE code 'SCH-WHITE-01'
2. Enter 8 space characters into School name
3. Select Type and Level
4. Click [Create school]
5. Inspect validation error</t>
        </is>
      </c>
      <c r="M16" s="27" t="inlineStr">
        <is>
          <t>1. Whitespace trimmed and name evaluated as empty
2. Displays 'School name is required.'
3. Submission blocked</t>
        </is>
      </c>
      <c r="N16" s="28" t="inlineStr">
        <is>
          <t>Verified: All-whitespace School name triggers 'School name is required.' per ASM-15.</t>
        </is>
      </c>
      <c r="O16" s="29">
        <f>HYPERLINK("../../reports/fs03/fs03-school-create/test-results/RUN-20261025-87375D/tests-fs03-fs03-school-create-test_atomic_school_create_tech_ui-py-test_tc_nam002_all_whitespace_school_name_triggers_required_error-chromium/video.webm", "🎬 Open 1080p Video")</f>
        <v/>
      </c>
      <c r="P16" s="30" t="inlineStr">
        <is>
          <t>tc_nam002_all_whitespace_school_name_triggers_required_error.webm</t>
        </is>
      </c>
      <c r="Q16" s="19" t="inlineStr">
        <is>
          <t>299.8 KB</t>
        </is>
      </c>
      <c r="R16" s="30" t="inlineStr">
        <is>
          <t>Rule 02 Lớp 3; ASM-15</t>
        </is>
      </c>
    </row>
    <row r="17" ht="68" customHeight="1">
      <c r="A17" s="31" t="inlineStr">
        <is>
          <t>TC-FS03-SCH-NAM-004</t>
        </is>
      </c>
      <c r="B17" s="32" t="inlineStr">
        <is>
          <t>TS-FS03-SCH-NAM</t>
        </is>
      </c>
      <c r="C17" s="33" t="inlineStr">
        <is>
          <t>TECH_UI</t>
        </is>
      </c>
      <c r="D17" s="34" t="inlineStr">
        <is>
          <t>Verify School name preserves Singapore multicultural Unicode characters (Chinese, Malay, Tamil, Vietnamese)</t>
        </is>
      </c>
      <c r="E17" s="35" t="inlineStr">
        <is>
          <t>School Name Matrix</t>
        </is>
      </c>
      <c r="F17" s="24" t="inlineStr">
        <is>
          <t>S3</t>
        </is>
      </c>
      <c r="G17" s="44" t="inlineStr">
        <is>
          <t>Medium</t>
        </is>
      </c>
      <c r="H17" s="24" t="inlineStr">
        <is>
          <t>Passed</t>
        </is>
      </c>
      <c r="I17" s="35" t="inlineStr">
        <is>
          <t>Functional</t>
        </is>
      </c>
      <c r="J17" s="37" t="inlineStr">
        <is>
          <t>MOE HQ Admin on /school-management/new.</t>
        </is>
      </c>
      <c r="K17" s="38" t="inlineStr">
        <is>
          <t>'华中科技学院 (Hwa Chong)', 'Sekolah Menengah Kebangsaan', 'Trường Quốc tế Singapore', "St. Joseph's Institution - Junior"</t>
        </is>
      </c>
      <c r="L17" s="39" t="inlineStr">
        <is>
          <t>1. Enter multicultural school names
2. Verify text value preservation in DOM</t>
        </is>
      </c>
      <c r="M17" s="39" t="inlineStr">
        <is>
          <t>1. Unicode characters preserved without mojibake or character loss</t>
        </is>
      </c>
      <c r="N17" s="40" t="inlineStr">
        <is>
          <t>Verified: 100% UTF-8 character fidelity preserved across multicultural names.</t>
        </is>
      </c>
      <c r="O17" s="41">
        <f>HYPERLINK("../../reports/fs03/fs03-school-create/test-results/RUN-20261025-87375D/tests-fs03-fs03-school-create-test_atomic_school_create_tech_ui-py-test_tc_nam004_multicultural_unicode_school_names-chromium/video.webm", "🎬 Open 1080p Video")</f>
        <v/>
      </c>
      <c r="P17" s="42" t="inlineStr">
        <is>
          <t>tc_nam004_multicultural_unicode_school_names.webm</t>
        </is>
      </c>
      <c r="Q17" s="33" t="inlineStr">
        <is>
          <t>246.2 KB</t>
        </is>
      </c>
      <c r="R17" s="42" t="inlineStr">
        <is>
          <t>Rule 02 Lớp 9; FS-03 §3.1 F01</t>
        </is>
      </c>
    </row>
    <row r="18" ht="68" customHeight="1">
      <c r="A18" s="17" t="inlineStr">
        <is>
          <t>TC-FS03-SCH-NAM-007</t>
        </is>
      </c>
      <c r="B18" s="18" t="inlineStr">
        <is>
          <t>TS-FS03-SCH-NAM</t>
        </is>
      </c>
      <c r="C18" s="19" t="inlineStr">
        <is>
          <t>TECH_UI</t>
        </is>
      </c>
      <c r="D18" s="20" t="inlineStr">
        <is>
          <t>Verify pasting 1000+ characters into School name does not freeze browser or break card layout (Stress Paste)</t>
        </is>
      </c>
      <c r="E18" s="21" t="inlineStr">
        <is>
          <t>School Name Matrix</t>
        </is>
      </c>
      <c r="F18" s="24" t="inlineStr">
        <is>
          <t>S3</t>
        </is>
      </c>
      <c r="G18" s="43" t="inlineStr">
        <is>
          <t>Medium</t>
        </is>
      </c>
      <c r="H18" s="24" t="inlineStr">
        <is>
          <t>Passed</t>
        </is>
      </c>
      <c r="I18" s="21" t="inlineStr">
        <is>
          <t>Stress</t>
        </is>
      </c>
      <c r="J18" s="25" t="inlineStr">
        <is>
          <t>MOE HQ Admin on /school-management/new.</t>
        </is>
      </c>
      <c r="K18" s="26" t="inlineStr">
        <is>
          <t>'SchoolNameLong' * 72 (1008 characters)</t>
        </is>
      </c>
      <c r="L18" s="27" t="inlineStr">
        <is>
          <t>1. Paste 1008 characters into School name input
2. Verify browser UI responsiveness and layout overflow check</t>
        </is>
      </c>
      <c r="M18" s="27" t="inlineStr">
        <is>
          <t>1. Browser remains responsive (0 freeze)
2. Layout does not trigger horizontal window scrollbar (scrollWidth &lt;= innerWidth)</t>
        </is>
      </c>
      <c r="N18" s="28" t="inlineStr">
        <is>
          <t>Verified: 1000+ characters handled without browser lockup or layout overflow.</t>
        </is>
      </c>
      <c r="O18" s="29">
        <f>HYPERLINK("../../reports/fs03/fs03-school-create/test-results/RUN-20261025-87375D/tests-fs03-fs03-school-create-test_atomic_school_create_tech_ui-py-test_tc_nam007_stress_paste_1000_chars_into_name-chromium/video.webm", "🎬 Open 1080p Video")</f>
        <v/>
      </c>
      <c r="P18" s="30" t="inlineStr">
        <is>
          <t>tc_nam007_stress_paste_1000_chars_into_name.webm</t>
        </is>
      </c>
      <c r="Q18" s="19" t="inlineStr">
        <is>
          <t>255.9 KB</t>
        </is>
      </c>
      <c r="R18" s="30" t="inlineStr">
        <is>
          <t>Rule 02 Lớp 7; AGENTS.md Invariant 7</t>
        </is>
      </c>
    </row>
    <row r="19" ht="68" customHeight="1">
      <c r="A19" s="31" t="inlineStr">
        <is>
          <t>TC-FS03-SCH-TYP-001</t>
        </is>
      </c>
      <c r="B19" s="32" t="inlineStr">
        <is>
          <t>TS-FS03-SCH-TYP</t>
        </is>
      </c>
      <c r="C19" s="33" t="inlineStr">
        <is>
          <t>TECH_UI</t>
        </is>
      </c>
      <c r="D19" s="34" t="inlineStr">
        <is>
          <t>Verify School type select renders placeholder 'Select a school type' with empty value by default</t>
        </is>
      </c>
      <c r="E19" s="35" t="inlineStr">
        <is>
          <t>School Type Select Matrix</t>
        </is>
      </c>
      <c r="F19" s="24" t="inlineStr">
        <is>
          <t>S3</t>
        </is>
      </c>
      <c r="G19" s="44" t="inlineStr">
        <is>
          <t>Medium</t>
        </is>
      </c>
      <c r="H19" s="24" t="inlineStr">
        <is>
          <t>Passed</t>
        </is>
      </c>
      <c r="I19" s="35" t="inlineStr">
        <is>
          <t>UI</t>
        </is>
      </c>
      <c r="J19" s="37" t="inlineStr">
        <is>
          <t>MOE HQ Admin on /school-management/new.</t>
        </is>
      </c>
      <c r="K19" s="38" t="inlineStr">
        <is>
          <t>N/A</t>
        </is>
      </c>
      <c r="L19" s="39" t="inlineStr">
        <is>
          <t>1. Load /school-management/new
2. Inspect value and selected index of #school-schoolType</t>
        </is>
      </c>
      <c r="M19" s="39" t="inlineStr">
        <is>
          <t>1. Default selected text is 'Select a school type'
2. Value is empty string ''</t>
        </is>
      </c>
      <c r="N19" s="40" t="inlineStr">
        <is>
          <t>Verified: Default select value is empty string with placeholder 'Select a school type'.</t>
        </is>
      </c>
      <c r="O19" s="41">
        <f>HYPERLINK("../../reports/fs03/fs03-school-create/test-results/RUN-20261025-87375D/tests-fs03-fs03-school-create-test_atomic_school_create_tech_ui-py-test_tc_typ001_default_placeholder_option-chromium/video.webm", "🎬 Open 1080p Video")</f>
        <v/>
      </c>
      <c r="P19" s="42" t="inlineStr">
        <is>
          <t>tc_typ001_default_placeholder_option.webm</t>
        </is>
      </c>
      <c r="Q19" s="33" t="inlineStr">
        <is>
          <t>195.0 KB</t>
        </is>
      </c>
      <c r="R19" s="42" t="inlineStr">
        <is>
          <t>Rule 02 Nhóm 5; UI Spec</t>
        </is>
      </c>
    </row>
    <row r="20" ht="68" customHeight="1">
      <c r="A20" s="17" t="inlineStr">
        <is>
          <t>TC-FS03-SCH-TYP-002</t>
        </is>
      </c>
      <c r="B20" s="18" t="inlineStr">
        <is>
          <t>TS-FS03-SCH-TYP</t>
        </is>
      </c>
      <c r="C20" s="19" t="inlineStr">
        <is>
          <t>TECH_UI</t>
        </is>
      </c>
      <c r="D20" s="20" t="inlineStr">
        <is>
          <t>Verify School type dropdown renders all 5 valid Singapore School Types in exact specified order</t>
        </is>
      </c>
      <c r="E20" s="21" t="inlineStr">
        <is>
          <t>School Type Select Matrix</t>
        </is>
      </c>
      <c r="F20" s="22" t="inlineStr">
        <is>
          <t>S2</t>
        </is>
      </c>
      <c r="G20" s="23" t="inlineStr">
        <is>
          <t>High</t>
        </is>
      </c>
      <c r="H20" s="24" t="inlineStr">
        <is>
          <t>Passed</t>
        </is>
      </c>
      <c r="I20" s="21" t="inlineStr">
        <is>
          <t>UI</t>
        </is>
      </c>
      <c r="J20" s="25" t="inlineStr">
        <is>
          <t>MOE HQ Admin on /school-management/new.</t>
        </is>
      </c>
      <c r="K20" s="26" t="inlineStr">
        <is>
          <t>Expected: ['Select a school type', 'Government', 'Government aided', 'Autonomous', 'Independent', 'Specialised']</t>
        </is>
      </c>
      <c r="L20" s="27" t="inlineStr">
        <is>
          <t>1. Query all options from #school-schoolType
2. Verify presence of all 5 approved Singapore classifications</t>
        </is>
      </c>
      <c r="M20" s="27" t="inlineStr">
        <is>
          <t>1. Exact approved Singapore school types present in exact enum order</t>
        </is>
      </c>
      <c r="N20" s="28" t="inlineStr">
        <is>
          <t>Verified: All 5 Singapore school types present and properly ordered in dropdown.</t>
        </is>
      </c>
      <c r="O20" s="29">
        <f>HYPERLINK("../../reports/fs03/fs03-school-create/test-results/RUN-20261025-87375D/tests-fs03-fs03-school-create-test-atomic-school-create-tech-ui-py-test-tc-typ002-dropdown-renders-approved-singapore-school-types-chromium/video.webm", "🎬 Open 1080p Video")</f>
        <v/>
      </c>
      <c r="P20" s="30" t="inlineStr">
        <is>
          <t>tc_typ002_dropdown_renders_approved_singapore_school_types.webm</t>
        </is>
      </c>
      <c r="Q20" s="19" t="inlineStr">
        <is>
          <t>195.4 KB</t>
        </is>
      </c>
      <c r="R20" s="30" t="inlineStr">
        <is>
          <t>Rule 02 Nhóm 5; WA-R3-10; Q18</t>
        </is>
      </c>
    </row>
    <row r="21" ht="68" customHeight="1">
      <c r="A21" s="31" t="inlineStr">
        <is>
          <t>TC-FS03-SCH-NFR-001</t>
        </is>
      </c>
      <c r="B21" s="32" t="inlineStr">
        <is>
          <t>TS-FS03-SCH-NFR</t>
        </is>
      </c>
      <c r="C21" s="33" t="inlineStr">
        <is>
          <t>TECH_UI</t>
        </is>
      </c>
      <c r="D21" s="34" t="inlineStr">
        <is>
          <t>Verify Invariant 7 UI Health: Zero uncaught JavaScript errors in browser console during full page lifecycle</t>
        </is>
      </c>
      <c r="E21" s="35" t="inlineStr">
        <is>
          <t>UI Health &amp; Invariant 7</t>
        </is>
      </c>
      <c r="F21" s="22" t="inlineStr">
        <is>
          <t>S2</t>
        </is>
      </c>
      <c r="G21" s="36" t="inlineStr">
        <is>
          <t>High</t>
        </is>
      </c>
      <c r="H21" s="24" t="inlineStr">
        <is>
          <t>Passed</t>
        </is>
      </c>
      <c r="I21" s="35" t="inlineStr">
        <is>
          <t>NonFunctional</t>
        </is>
      </c>
      <c r="J21" s="37" t="inlineStr">
        <is>
          <t>MOE HQ Admin on /school-management/new; Console listener attached.</t>
        </is>
      </c>
      <c r="K21" s="38" t="inlineStr">
        <is>
          <t>Full form interaction lifecycle</t>
        </is>
      </c>
      <c r="L21" s="39" t="inlineStr">
        <is>
          <t>1. Interact with all form controls
2. Trigger empty submit errors
3. Fill valid inputs and select options
4. Inspect captured console error count</t>
        </is>
      </c>
      <c r="M21" s="39" t="inlineStr">
        <is>
          <t>1. console.error count equals 0
2. Zero unhandled promise rejections or React render crashes</t>
        </is>
      </c>
      <c r="N21" s="40" t="inlineStr">
        <is>
          <t>Verified: Exactly 0 console errors captured throughout complete page interaction cycle.</t>
        </is>
      </c>
      <c r="O21" s="41">
        <f>HYPERLINK("../../reports/fs03/fs03-school-create/test-results/RUN-20261025-87375D/tests-fs03-fs03-school-create-test_atomic_school_create_tech_ui-py-test_tc_nfr001_zero_console_errors_during_form_lifecycle-chromium/video.webm", "🎬 Open 1080p Video")</f>
        <v/>
      </c>
      <c r="P21" s="42" t="inlineStr">
        <is>
          <t>tc_nfr001_zero_console_errors_during_form_lifecycle.webm</t>
        </is>
      </c>
      <c r="Q21" s="33" t="inlineStr">
        <is>
          <t>411.2 KB</t>
        </is>
      </c>
      <c r="R21" s="42" t="inlineStr">
        <is>
          <t>AGENTS.md Invariant 7; Rule 02 Mục 9</t>
        </is>
      </c>
    </row>
    <row r="22" ht="68" customHeight="1">
      <c r="A22" s="17" t="inlineStr">
        <is>
          <t>TC-FS03-SCH-NFR-002</t>
        </is>
      </c>
      <c r="B22" s="18" t="inlineStr">
        <is>
          <t>TS-FS03-SCH-NFR</t>
        </is>
      </c>
      <c r="C22" s="19" t="inlineStr">
        <is>
          <t>TECH_UI</t>
        </is>
      </c>
      <c r="D22" s="20" t="inlineStr">
        <is>
          <t>Verify zero horizontal scrollbar (scrollWidth &lt;= clientWidth) at desktop viewports (1280x720, 1920x1080)</t>
        </is>
      </c>
      <c r="E22" s="21" t="inlineStr">
        <is>
          <t>UI Health &amp; Invariant 7</t>
        </is>
      </c>
      <c r="F22" s="24" t="inlineStr">
        <is>
          <t>S3</t>
        </is>
      </c>
      <c r="G22" s="43" t="inlineStr">
        <is>
          <t>Medium</t>
        </is>
      </c>
      <c r="H22" s="24" t="inlineStr">
        <is>
          <t>Passed</t>
        </is>
      </c>
      <c r="I22" s="21" t="inlineStr">
        <is>
          <t>NonFunctional</t>
        </is>
      </c>
      <c r="J22" s="25" t="inlineStr">
        <is>
          <t>MOE HQ Admin on /school-management/new.</t>
        </is>
      </c>
      <c r="K22" s="26" t="inlineStr">
        <is>
          <t>Viewports: 1280x720 (HD), 1920x1080 (FHD)</t>
        </is>
      </c>
      <c r="L22" s="27" t="inlineStr">
        <is>
          <t>1. Set viewport to 1280x720 and 1920x1080
2. Execute document.documentElement.scrollWidth &gt; window.innerWidth check</t>
        </is>
      </c>
      <c r="M22" s="27" t="inlineStr">
        <is>
          <t>1. scrollWidth &lt;= innerWidth
2. Zero horizontal layout overflow</t>
        </is>
      </c>
      <c r="N22" s="28" t="inlineStr">
        <is>
          <t>Verified: Zero horizontal scrollbars detected across all standard desktop viewports.</t>
        </is>
      </c>
      <c r="O22" s="29">
        <f>HYPERLINK("../../reports/fs03/fs03-school-create/test-results/RUN-20261025-87375D/tests-fs03-fs03-school-create-test_atomic_school_create_tech_ui-py-test_tc_nfr002_zero_horizontal_scrollbar_at_desktop_viewports-chromium/video.webm", "🎬 Open 1080p Video")</f>
        <v/>
      </c>
      <c r="P22" s="30" t="inlineStr">
        <is>
          <t>tc_nfr002_zero_horizontal_scrollbar_at_desktop_viewports.webm</t>
        </is>
      </c>
      <c r="Q22" s="19" t="inlineStr">
        <is>
          <t>296.4 KB</t>
        </is>
      </c>
      <c r="R22" s="30" t="inlineStr">
        <is>
          <t>AGENTS.md Invariant 7; Rule 02 Mục 9</t>
        </is>
      </c>
    </row>
    <row r="23" ht="68" customHeight="1">
      <c r="A23" s="31" t="inlineStr">
        <is>
          <t>TC-FS03-SCH-NFR-003</t>
        </is>
      </c>
      <c r="B23" s="32" t="inlineStr">
        <is>
          <t>TS-FS03-SCH-NFR</t>
        </is>
      </c>
      <c r="C23" s="33" t="inlineStr">
        <is>
          <t>TECH_UI</t>
        </is>
      </c>
      <c r="D23" s="34" t="inlineStr">
        <is>
          <t>Verify anti-i18n leakage: Zero raw translation keys (features.*, school.*) in rendered DOM</t>
        </is>
      </c>
      <c r="E23" s="35" t="inlineStr">
        <is>
          <t>UI Health &amp; Invariant 7</t>
        </is>
      </c>
      <c r="F23" s="22" t="inlineStr">
        <is>
          <t>S2</t>
        </is>
      </c>
      <c r="G23" s="36" t="inlineStr">
        <is>
          <t>High</t>
        </is>
      </c>
      <c r="H23" s="24" t="inlineStr">
        <is>
          <t>Passed</t>
        </is>
      </c>
      <c r="I23" s="35" t="inlineStr">
        <is>
          <t>NonFunctional</t>
        </is>
      </c>
      <c r="J23" s="37" t="inlineStr">
        <is>
          <t>MOE HQ Admin on /school-management/new in error state.</t>
        </is>
      </c>
      <c r="K23" s="38" t="inlineStr">
        <is>
          <t>Regex patterns: features.*, school.*, validation.*</t>
        </is>
      </c>
      <c r="L23" s="39" t="inlineStr">
        <is>
          <t>1. Trigger all validation errors on form
2. Scan entire DOM text content with regex `\b(features\.[a-zA-Z0-9_.]+|school\.[a-zA-Z0-9_.]+|validation\.[a-zA-Z0-9_.]+)\b`
3. Verify matched key count</t>
        </is>
      </c>
      <c r="M23" s="39" t="inlineStr">
        <is>
          <t>1. Zero raw translation keys found in rendered DOM
2. All labels and messages are human-readable English text</t>
        </is>
      </c>
      <c r="N23" s="40" t="inlineStr">
        <is>
          <t>Verified: Exactly 0 raw translation keys found in rendered DOM.</t>
        </is>
      </c>
      <c r="O23" s="41">
        <f>HYPERLINK("../../reports/fs03/fs03-school-create/test-results/RUN-20261025-87375D/tests-fs03-fs03-school-create-test_atomic_school_create_tech_ui-py-test_tc_nfr003_anti_i18n_leakage_in_rendered_dom-chromium/video.webm", "🎬 Open 1080p Video")</f>
        <v/>
      </c>
      <c r="P23" s="42" t="inlineStr">
        <is>
          <t>tc_nfr003_anti_i18n_leakage_in_rendered_dom.webm</t>
        </is>
      </c>
      <c r="Q23" s="33" t="inlineStr">
        <is>
          <t>271.7 KB</t>
        </is>
      </c>
      <c r="R23" s="42" t="inlineStr">
        <is>
          <t>Rule 02 Lớp 11; UI Spec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36" customWidth="1" min="4" max="4"/>
    <col width="26" customWidth="1" min="5" max="5"/>
    <col width="12" customWidth="1" min="6" max="6"/>
    <col width="12" customWidth="1" min="7" max="7"/>
    <col width="16" customWidth="1" min="8" max="8"/>
    <col width="14" customWidth="1" min="9" max="9"/>
    <col width="30" customWidth="1" min="10" max="10"/>
    <col width="32" customWidth="1" min="11" max="11"/>
    <col width="44" customWidth="1" min="12" max="12"/>
    <col width="42" customWidth="1" min="13" max="13"/>
    <col width="42" customWidth="1" min="14" max="14"/>
    <col width="30" customWidth="1" min="15" max="15"/>
    <col width="32" customWidth="1" min="16" max="16"/>
    <col width="16" customWidth="1" min="17" max="17"/>
    <col width="28" customWidth="1" min="18" max="18"/>
  </cols>
  <sheetData>
    <row r="1" ht="28" customHeight="1">
      <c r="A1" s="16" t="inlineStr">
        <is>
          <t>ID</t>
        </is>
      </c>
      <c r="B1" s="16" t="inlineStr">
        <is>
          <t>Scenario ID</t>
        </is>
      </c>
      <c r="C1" s="16" t="inlineStr">
        <is>
          <t>Pillar</t>
        </is>
      </c>
      <c r="D1" s="16" t="inlineStr">
        <is>
          <t>Title / Summary</t>
        </is>
      </c>
      <c r="E1" s="16" t="inlineStr">
        <is>
          <t>Test Suite</t>
        </is>
      </c>
      <c r="F1" s="16" t="inlineStr">
        <is>
          <t>Severity</t>
        </is>
      </c>
      <c r="G1" s="16" t="inlineStr">
        <is>
          <t>Priority</t>
        </is>
      </c>
      <c r="H1" s="16" t="inlineStr">
        <is>
          <t>Execution Status</t>
        </is>
      </c>
      <c r="I1" s="16" t="inlineStr">
        <is>
          <t>Test Type</t>
        </is>
      </c>
      <c r="J1" s="16" t="inlineStr">
        <is>
          <t>Preconditions</t>
        </is>
      </c>
      <c r="K1" s="16" t="inlineStr">
        <is>
          <t>Test Data / Payload</t>
        </is>
      </c>
      <c r="L1" s="16" t="inlineStr">
        <is>
          <t>Test Steps (Step-by-step)</t>
        </is>
      </c>
      <c r="M1" s="16" t="inlineStr">
        <is>
          <t>Expected Result (Per Spec/BR)</t>
        </is>
      </c>
      <c r="N1" s="16" t="inlineStr">
        <is>
          <t>Actual Result (Live Execution)</t>
        </is>
      </c>
      <c r="O1" s="16" t="inlineStr">
        <is>
          <t>1080p Video Evidence</t>
        </is>
      </c>
      <c r="P1" s="16" t="inlineStr">
        <is>
          <t>Video File Name</t>
        </is>
      </c>
      <c r="Q1" s="16" t="inlineStr">
        <is>
          <t>Video File Size</t>
        </is>
      </c>
      <c r="R1" s="16" t="inlineStr">
        <is>
          <t>Traceability</t>
        </is>
      </c>
    </row>
    <row r="2" ht="68" customHeight="1">
      <c r="A2" s="17" t="inlineStr">
        <is>
          <t>TC-FS03-SCH-BR-001</t>
        </is>
      </c>
      <c r="B2" s="18" t="inlineStr">
        <is>
          <t>TS-FS03-SCH-BR</t>
        </is>
      </c>
      <c r="C2" s="19" t="inlineStr">
        <is>
          <t>BR</t>
        </is>
      </c>
      <c r="D2" s="20" t="inlineStr">
        <is>
          <t>Verify MOE HQ Admin successfully creates a new School with unique MOE code, default Active status, 0 classes and 0 students</t>
        </is>
      </c>
      <c r="E2" s="21" t="inlineStr">
        <is>
          <t>School Master Data &amp; Lifecycle</t>
        </is>
      </c>
      <c r="F2" s="22" t="inlineStr">
        <is>
          <t>S2</t>
        </is>
      </c>
      <c r="G2" s="23" t="inlineStr">
        <is>
          <t>High</t>
        </is>
      </c>
      <c r="H2" s="24" t="inlineStr">
        <is>
          <t>Passed</t>
        </is>
      </c>
      <c r="I2" s="21" t="inlineStr">
        <is>
          <t>Functional</t>
        </is>
      </c>
      <c r="J2" s="25" t="inlineStr">
        <is>
          <t>MOE HQ Admin logged in; Unique MOE school code generated.</t>
        </is>
      </c>
      <c r="K2" s="26" t="inlineStr">
        <is>
          <t>MOE Code: 'SCH-E2E-XXXX' (unique), Name: 'End-to-End Test Academy', Type: 'Government', Level: 'PRI-1'</t>
        </is>
      </c>
      <c r="L2" s="27" t="inlineStr">
        <is>
          <t>1. Navigate to /school-management/new
2. Fill unique MOE school code
3. Fill School name
4. Select School type 'Government'
5. Select Academic level 'PRI-1'
6. Click [Create school]
7. Verify toast and list view</t>
        </is>
      </c>
      <c r="M2" s="27" t="inlineStr">
        <is>
          <t>1. School created in DB with is_active=true, 0 classes, 0 students
2. Toast 'School created: School created successfully.' displayed
3. Redirects to /school-management
4. New school rendered in table</t>
        </is>
      </c>
      <c r="N2" s="28" t="inlineStr">
        <is>
          <t>Verified: Toast popup confirmed, redirect successful, newly created school visible in table with Active status.</t>
        </is>
      </c>
      <c r="O2" s="29">
        <f>HYPERLINK("../../reports/fs03/fs03-school-create/test-results/RUN-20261025-87375D/tests-fs03-fs03-school-create-test_integration_school_create_br-py-test_tc_br001_successful_school_creation_e2e-chromium/video.webm", "🎬 Open 1080p Video")</f>
        <v/>
      </c>
      <c r="P2" s="30" t="inlineStr">
        <is>
          <t>tc_br001_successful_school_creation_e2e.webm</t>
        </is>
      </c>
      <c r="Q2" s="19" t="inlineStr">
        <is>
          <t>433.0 KB</t>
        </is>
      </c>
      <c r="R2" s="30" t="inlineStr">
        <is>
          <t>FS-03 §3.1 F01-AC01; BR-R3-01; BR-R3-02; TC-R3-F01-001</t>
        </is>
      </c>
    </row>
    <row r="3" ht="68" customHeight="1">
      <c r="A3" s="31" t="inlineStr">
        <is>
          <t>TC-FS03-SCH-BR-002</t>
        </is>
      </c>
      <c r="B3" s="32" t="inlineStr">
        <is>
          <t>TS-FS03-SCH-BR</t>
        </is>
      </c>
      <c r="C3" s="33" t="inlineStr">
        <is>
          <t>BR</t>
        </is>
      </c>
      <c r="D3" s="34" t="inlineStr">
        <is>
          <t>Verify system strictly rejects duplicate MOE school code with error alert 'Unable to create school' (HTTP 409 Conflict)</t>
        </is>
      </c>
      <c r="E3" s="35" t="inlineStr">
        <is>
          <t>School Master Data &amp; Lifecycle</t>
        </is>
      </c>
      <c r="F3" s="22" t="inlineStr">
        <is>
          <t>S2</t>
        </is>
      </c>
      <c r="G3" s="36" t="inlineStr">
        <is>
          <t>High</t>
        </is>
      </c>
      <c r="H3" s="24" t="inlineStr">
        <is>
          <t>Passed</t>
        </is>
      </c>
      <c r="I3" s="35" t="inlineStr">
        <is>
          <t>Negative</t>
        </is>
      </c>
      <c r="J3" s="37" t="inlineStr">
        <is>
          <t>School with MOE code 'qwe' already exists in schools table.</t>
        </is>
      </c>
      <c r="K3" s="38" t="inlineStr">
        <is>
          <t>MOE Code: 'qwe' (duplicate), Name: 'Duplicate Verification School', Type: 'Government', Level: 'PRI-1'</t>
        </is>
      </c>
      <c r="L3" s="39" t="inlineStr">
        <is>
          <t>1. Navigate to /school-management/new
2. Enter duplicate code 'qwe'
3. Fill Name, Type, Level
4. Click [Create school]
5. Inspect alert container</t>
        </is>
      </c>
      <c r="M3" s="39" t="inlineStr">
        <is>
          <t>1. Backend rejects request with HTTP 409 Conflict
2. Displays alert: 'Unable to create school / School with MOE code 'qwe' already exists.'
3. No duplicate record inserted</t>
        </is>
      </c>
      <c r="N3" s="40" t="inlineStr">
        <is>
          <t>Verified: Alert banner displayed with exact text 'Unable to create school / School with MOE code 'qwe' already exists.'</t>
        </is>
      </c>
      <c r="O3" s="41">
        <f>HYPERLINK("../../reports/fs03/fs03-school-create/test-results/RUN-20261025-87375D/tests-fs03-fs03-school-create-test_integration_school_create_br-py-test_tc_br002_duplicate_moe_school_code_rejected-chromium/video.webm", "🎬 Open 1080p Video")</f>
        <v/>
      </c>
      <c r="P3" s="42" t="inlineStr">
        <is>
          <t>tc_br002_duplicate_moe_school_code_rejected.webm</t>
        </is>
      </c>
      <c r="Q3" s="33" t="inlineStr">
        <is>
          <t>375.5 KB</t>
        </is>
      </c>
      <c r="R3" s="42" t="inlineStr">
        <is>
          <t>FS-03 §3.1 F01-AC02; BR-R3-01; E-03-09; TC-R3-F01-002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36" customWidth="1" min="4" max="4"/>
    <col width="26" customWidth="1" min="5" max="5"/>
    <col width="12" customWidth="1" min="6" max="6"/>
    <col width="12" customWidth="1" min="7" max="7"/>
    <col width="16" customWidth="1" min="8" max="8"/>
    <col width="14" customWidth="1" min="9" max="9"/>
    <col width="30" customWidth="1" min="10" max="10"/>
    <col width="32" customWidth="1" min="11" max="11"/>
    <col width="44" customWidth="1" min="12" max="12"/>
    <col width="42" customWidth="1" min="13" max="13"/>
    <col width="42" customWidth="1" min="14" max="14"/>
    <col width="30" customWidth="1" min="15" max="15"/>
    <col width="32" customWidth="1" min="16" max="16"/>
    <col width="16" customWidth="1" min="17" max="17"/>
    <col width="28" customWidth="1" min="18" max="18"/>
  </cols>
  <sheetData>
    <row r="1" ht="28" customHeight="1">
      <c r="A1" s="16" t="inlineStr">
        <is>
          <t>ID</t>
        </is>
      </c>
      <c r="B1" s="16" t="inlineStr">
        <is>
          <t>Scenario ID</t>
        </is>
      </c>
      <c r="C1" s="16" t="inlineStr">
        <is>
          <t>Pillar</t>
        </is>
      </c>
      <c r="D1" s="16" t="inlineStr">
        <is>
          <t>Title / Summary</t>
        </is>
      </c>
      <c r="E1" s="16" t="inlineStr">
        <is>
          <t>Test Suite</t>
        </is>
      </c>
      <c r="F1" s="16" t="inlineStr">
        <is>
          <t>Severity</t>
        </is>
      </c>
      <c r="G1" s="16" t="inlineStr">
        <is>
          <t>Priority</t>
        </is>
      </c>
      <c r="H1" s="16" t="inlineStr">
        <is>
          <t>Execution Status</t>
        </is>
      </c>
      <c r="I1" s="16" t="inlineStr">
        <is>
          <t>Test Type</t>
        </is>
      </c>
      <c r="J1" s="16" t="inlineStr">
        <is>
          <t>Preconditions</t>
        </is>
      </c>
      <c r="K1" s="16" t="inlineStr">
        <is>
          <t>Test Data / Payload</t>
        </is>
      </c>
      <c r="L1" s="16" t="inlineStr">
        <is>
          <t>Test Steps (Step-by-step)</t>
        </is>
      </c>
      <c r="M1" s="16" t="inlineStr">
        <is>
          <t>Expected Result (Per Spec/BR)</t>
        </is>
      </c>
      <c r="N1" s="16" t="inlineStr">
        <is>
          <t>Actual Result (Live Execution)</t>
        </is>
      </c>
      <c r="O1" s="16" t="inlineStr">
        <is>
          <t>1080p Video Evidence</t>
        </is>
      </c>
      <c r="P1" s="16" t="inlineStr">
        <is>
          <t>Video File Name</t>
        </is>
      </c>
      <c r="Q1" s="16" t="inlineStr">
        <is>
          <t>Video File Size</t>
        </is>
      </c>
      <c r="R1" s="16" t="inlineStr">
        <is>
          <t>Traceability</t>
        </is>
      </c>
    </row>
    <row r="2" ht="68" customHeight="1">
      <c r="A2" s="17" t="inlineStr">
        <is>
          <t>TC-FS03-SCH-AC-001</t>
        </is>
      </c>
      <c r="B2" s="18" t="inlineStr">
        <is>
          <t>TS-FS03-SCH-NAV</t>
        </is>
      </c>
      <c r="C2" s="19" t="inlineStr">
        <is>
          <t>AC</t>
        </is>
      </c>
      <c r="D2" s="20" t="inlineStr">
        <is>
          <t>Verify 'Cancel' button abandons creation and navigates back to School Management list without persisting data</t>
        </is>
      </c>
      <c r="E2" s="21" t="inlineStr">
        <is>
          <t>Navigation &amp; Form Actions</t>
        </is>
      </c>
      <c r="F2" s="24" t="inlineStr">
        <is>
          <t>S3</t>
        </is>
      </c>
      <c r="G2" s="43" t="inlineStr">
        <is>
          <t>Medium</t>
        </is>
      </c>
      <c r="H2" s="24" t="inlineStr">
        <is>
          <t>Passed</t>
        </is>
      </c>
      <c r="I2" s="21" t="inlineStr">
        <is>
          <t>UI</t>
        </is>
      </c>
      <c r="J2" s="25" t="inlineStr">
        <is>
          <t>MOE HQ Admin on /school-management/new with dirty form.</t>
        </is>
      </c>
      <c r="K2" s="26" t="inlineStr">
        <is>
          <t>MOE Code: 'CANCEL-01', Name: 'Cancelled School'</t>
        </is>
      </c>
      <c r="L2" s="27" t="inlineStr">
        <is>
          <t>1. Enter partial data
2. Click [Cancel] button
3. Verify browser URL and table rows</t>
        </is>
      </c>
      <c r="M2" s="27" t="inlineStr">
        <is>
          <t>1. Navigates back to /school-management
2. Zero records inserted into database
3. Cancelled school not in table</t>
        </is>
      </c>
      <c r="N2" s="28" t="inlineStr">
        <is>
          <t>Verified: Page navigates to /school-management, 0 database insertions.</t>
        </is>
      </c>
      <c r="O2" s="29">
        <f>HYPERLINK("../../reports/fs03/fs03-school-create/test-results/RUN-20261025-87375D/tests-fs03-fs03-school-create-test-atomic-school-create-ac-py-test-tc-ac001-cancel-button-navigates-back-chromium/video.webm", "🎬 Open 1080p Video")</f>
        <v/>
      </c>
      <c r="P2" s="30" t="inlineStr">
        <is>
          <t>tc_ac001_cancel_button_navigates_back.webm</t>
        </is>
      </c>
      <c r="Q2" s="19" t="inlineStr">
        <is>
          <t>309.3 KB</t>
        </is>
      </c>
      <c r="R2" s="30" t="inlineStr">
        <is>
          <t>FS-03 §3.1 F01; UI Spec</t>
        </is>
      </c>
    </row>
    <row r="3" ht="68" customHeight="1">
      <c r="A3" s="31" t="inlineStr">
        <is>
          <t>TC-FS03-SCH-AC-002</t>
        </is>
      </c>
      <c r="B3" s="32" t="inlineStr">
        <is>
          <t>TS-FS03-SCH-VAL</t>
        </is>
      </c>
      <c r="C3" s="33" t="inlineStr">
        <is>
          <t>AC</t>
        </is>
      </c>
      <c r="D3" s="34" t="inlineStr">
        <is>
          <t>Verify clicking 'Create school' with pristine empty form triggers summary error banner 'Please correct the errors below.'</t>
        </is>
      </c>
      <c r="E3" s="35" t="inlineStr">
        <is>
          <t>Form Validation &amp; Feedback</t>
        </is>
      </c>
      <c r="F3" s="22" t="inlineStr">
        <is>
          <t>S2</t>
        </is>
      </c>
      <c r="G3" s="36" t="inlineStr">
        <is>
          <t>High</t>
        </is>
      </c>
      <c r="H3" s="24" t="inlineStr">
        <is>
          <t>Passed</t>
        </is>
      </c>
      <c r="I3" s="35" t="inlineStr">
        <is>
          <t>Validation</t>
        </is>
      </c>
      <c r="J3" s="37" t="inlineStr">
        <is>
          <t>MOE HQ Admin on /school-management/new with pristine empty form.</t>
        </is>
      </c>
      <c r="K3" s="38" t="inlineStr">
        <is>
          <t>All inputs empty</t>
        </is>
      </c>
      <c r="L3" s="39" t="inlineStr">
        <is>
          <t>1. Load /school-management/new
2. Click [Create school] with empty form
3. Inspect top of School details section</t>
        </is>
      </c>
      <c r="M3" s="39" t="inlineStr">
        <is>
          <t>1. Summary banner appears: 'Please correct the errors below.'
2. Lists all 4 required field failures
3. Form submission halted</t>
        </is>
      </c>
      <c r="N3" s="40" t="inlineStr">
        <is>
          <t>Verified: Summary banner 'Please correct the errors below.' displayed with all 4 required field error bullets.</t>
        </is>
      </c>
      <c r="O3" s="41">
        <f>HYPERLINK("../../reports/fs03/fs03-school-create/test-results/RUN-20261025-87375D/tests-fs03-fs03-school-create-test-atomic-school-create-ac-py-test-tc-ac002-empty-form-submission-triggers-summary-error-banner-chromium/video.webm", "🎬 Open 1080p Video")</f>
        <v/>
      </c>
      <c r="P3" s="42" t="inlineStr">
        <is>
          <t>tc_ac002_empty_form_submission_triggers_summary_error_banner.webm</t>
        </is>
      </c>
      <c r="Q3" s="33" t="inlineStr">
        <is>
          <t>213.0 KB</t>
        </is>
      </c>
      <c r="R3" s="42" t="inlineStr">
        <is>
          <t>FS-03 §3.1 F01; UI Spec Form Validation</t>
        </is>
      </c>
    </row>
    <row r="4" ht="68" customHeight="1">
      <c r="A4" s="17" t="inlineStr">
        <is>
          <t>TC-FS03-SCH-AC-003</t>
        </is>
      </c>
      <c r="B4" s="18" t="inlineStr">
        <is>
          <t>TS-FS03-SCH-COD</t>
        </is>
      </c>
      <c r="C4" s="19" t="inlineStr">
        <is>
          <t>AC</t>
        </is>
      </c>
      <c r="D4" s="20" t="inlineStr">
        <is>
          <t>Verify inline error under MOE school code displays 'MOE school code is required.' when submitted empty</t>
        </is>
      </c>
      <c r="E4" s="21" t="inlineStr">
        <is>
          <t>Form Validation &amp; Feedback</t>
        </is>
      </c>
      <c r="F4" s="22" t="inlineStr">
        <is>
          <t>S2</t>
        </is>
      </c>
      <c r="G4" s="23" t="inlineStr">
        <is>
          <t>High</t>
        </is>
      </c>
      <c r="H4" s="24" t="inlineStr">
        <is>
          <t>Passed</t>
        </is>
      </c>
      <c r="I4" s="21" t="inlineStr">
        <is>
          <t>Validation</t>
        </is>
      </c>
      <c r="J4" s="25" t="inlineStr">
        <is>
          <t>MOE HQ Admin on /school-management/new.</t>
        </is>
      </c>
      <c r="K4" s="26" t="inlineStr">
        <is>
          <t>MOE Code: '', Name: 'Sample School', Type: 'Government', Level: 'PRI-1'</t>
        </is>
      </c>
      <c r="L4" s="27" t="inlineStr">
        <is>
          <t>1. Leave MOE school code empty
2. Fill Name, Type, Level
3. Click [Create school]
4. Inspect error beneath code input</t>
        </is>
      </c>
      <c r="M4" s="27" t="inlineStr">
        <is>
          <t>1. Inline error 'MOE school code is required.' renders beneath input
2. Input has aria-invalid='true' and red border</t>
        </is>
      </c>
      <c r="N4" s="28" t="inlineStr">
        <is>
          <t>Verified: Inline error 'MOE school code is required.' and aria-invalid='true' confirmed.</t>
        </is>
      </c>
      <c r="O4" s="29">
        <f>HYPERLINK("../../reports/fs03/fs03-school-create/test-results/RUN-20261025-87375D/tests-fs03-fs03-school-create-test-atomic-school-create-ac-py-test-tc-ac003-empty-moe-school-code-triggers-inline-error-chromium/video.webm", "🎬 Open 1080p Video")</f>
        <v/>
      </c>
      <c r="P4" s="30" t="inlineStr">
        <is>
          <t>tc_ac003_empty_moe_school_code_triggers_inline_error.webm</t>
        </is>
      </c>
      <c r="Q4" s="19" t="inlineStr">
        <is>
          <t>336.2 KB</t>
        </is>
      </c>
      <c r="R4" s="30" t="inlineStr">
        <is>
          <t>FS-03 §3.1 F01; UI Spec</t>
        </is>
      </c>
    </row>
    <row r="5" ht="68" customHeight="1">
      <c r="A5" s="31" t="inlineStr">
        <is>
          <t>TC-FS03-SCH-AC-004</t>
        </is>
      </c>
      <c r="B5" s="32" t="inlineStr">
        <is>
          <t>TS-FS03-SCH-NAM</t>
        </is>
      </c>
      <c r="C5" s="33" t="inlineStr">
        <is>
          <t>AC</t>
        </is>
      </c>
      <c r="D5" s="34" t="inlineStr">
        <is>
          <t>Verify inline error under School name displays 'School name is required.' when submitted empty</t>
        </is>
      </c>
      <c r="E5" s="35" t="inlineStr">
        <is>
          <t>Form Validation &amp; Feedback</t>
        </is>
      </c>
      <c r="F5" s="22" t="inlineStr">
        <is>
          <t>S2</t>
        </is>
      </c>
      <c r="G5" s="36" t="inlineStr">
        <is>
          <t>High</t>
        </is>
      </c>
      <c r="H5" s="24" t="inlineStr">
        <is>
          <t>Passed</t>
        </is>
      </c>
      <c r="I5" s="35" t="inlineStr">
        <is>
          <t>Validation</t>
        </is>
      </c>
      <c r="J5" s="37" t="inlineStr">
        <is>
          <t>MOE HQ Admin on /school-management/new.</t>
        </is>
      </c>
      <c r="K5" s="38" t="inlineStr">
        <is>
          <t>MOE Code: 'SCH-TEST-01', Name: '', Type: 'Government', Level: 'PRI-1'</t>
        </is>
      </c>
      <c r="L5" s="39" t="inlineStr">
        <is>
          <t>1. Fill MOE code, Type, Level
2. Leave School name empty
3. Click [Create school]
4. Inspect error beneath name input</t>
        </is>
      </c>
      <c r="M5" s="39" t="inlineStr">
        <is>
          <t>1. Inline error 'School name is required.' renders beneath input
2. Input has aria-invalid='true' and red border</t>
        </is>
      </c>
      <c r="N5" s="40" t="inlineStr">
        <is>
          <t>Verified: Inline error 'School name is required.' and aria-invalid='true' confirmed.</t>
        </is>
      </c>
      <c r="O5" s="41">
        <f>HYPERLINK("../../reports/fs03/fs03-school-create/test-results/RUN-20261025-87375D/tests-fs03-fs03-school-create-test_atomic_school_create_ac-py-test_tc_ac004_empty_school_name_triggers_inline_error-chromium/video.webm", "🎬 Open 1080p Video")</f>
        <v/>
      </c>
      <c r="P5" s="42" t="inlineStr">
        <is>
          <t>tc_ac004_empty_school_name_triggers_inline_error.webm</t>
        </is>
      </c>
      <c r="Q5" s="33" t="inlineStr">
        <is>
          <t>307.3 KB</t>
        </is>
      </c>
      <c r="R5" s="42" t="inlineStr">
        <is>
          <t>FS-03 §3.1 F01; UI Spec</t>
        </is>
      </c>
    </row>
    <row r="6" ht="68" customHeight="1">
      <c r="A6" s="17" t="inlineStr">
        <is>
          <t>TC-FS03-SCH-AC-005</t>
        </is>
      </c>
      <c r="B6" s="18" t="inlineStr">
        <is>
          <t>TS-FS03-SCH-TYP</t>
        </is>
      </c>
      <c r="C6" s="19" t="inlineStr">
        <is>
          <t>AC</t>
        </is>
      </c>
      <c r="D6" s="20" t="inlineStr">
        <is>
          <t>Verify inline error under School type displays 'Select a school type.' when unselected placeholder is submitted</t>
        </is>
      </c>
      <c r="E6" s="21" t="inlineStr">
        <is>
          <t>Form Validation &amp; Feedback</t>
        </is>
      </c>
      <c r="F6" s="22" t="inlineStr">
        <is>
          <t>S2</t>
        </is>
      </c>
      <c r="G6" s="23" t="inlineStr">
        <is>
          <t>High</t>
        </is>
      </c>
      <c r="H6" s="24" t="inlineStr">
        <is>
          <t>Passed</t>
        </is>
      </c>
      <c r="I6" s="21" t="inlineStr">
        <is>
          <t>Validation</t>
        </is>
      </c>
      <c r="J6" s="25" t="inlineStr">
        <is>
          <t>MOE HQ Admin on /school-management/new.</t>
        </is>
      </c>
      <c r="K6" s="26" t="inlineStr">
        <is>
          <t>MOE Code: 'SCH-TEST-02', Name: 'Sample Academy', Type: '' (placeholder), Level: 'PRI-1'</t>
        </is>
      </c>
      <c r="L6" s="27" t="inlineStr">
        <is>
          <t>1. Fill Code, Name, Level
2. Leave School type at placeholder
3. Click [Create school]
4. Inspect error beneath dropdown</t>
        </is>
      </c>
      <c r="M6" s="27" t="inlineStr">
        <is>
          <t>1. Inline error 'Select a school type.' renders beneath dropdown
2. Dropdown highlighted with validation error</t>
        </is>
      </c>
      <c r="N6" s="28" t="inlineStr">
        <is>
          <t>Verified: Inline error 'Select a school type.' displayed beneath select control.</t>
        </is>
      </c>
      <c r="O6" s="29">
        <f>HYPERLINK("../../reports/fs03/fs03-school-create/test-results/RUN-20261025-87375D/tests-fs03-fs03-school-create-test-atomic-school-create-ac-py-test-tc-ac005-unselected-school-type-triggers-inline-error-chromium/video.webm", "🎬 Open 1080p Video")</f>
        <v/>
      </c>
      <c r="P6" s="30" t="inlineStr">
        <is>
          <t>tc_ac005_unselected_school_type_triggers_inline_error.webm</t>
        </is>
      </c>
      <c r="Q6" s="19" t="inlineStr">
        <is>
          <t>325.5 KB</t>
        </is>
      </c>
      <c r="R6" s="30" t="inlineStr">
        <is>
          <t>FS-03 §3.1 F01; UI Spec</t>
        </is>
      </c>
    </row>
    <row r="7" ht="68" customHeight="1">
      <c r="A7" s="31" t="inlineStr">
        <is>
          <t>TC-FS03-SCH-AC-006</t>
        </is>
      </c>
      <c r="B7" s="32" t="inlineStr">
        <is>
          <t>TS-FS03-SCH-LVL</t>
        </is>
      </c>
      <c r="C7" s="33" t="inlineStr">
        <is>
          <t>AC</t>
        </is>
      </c>
      <c r="D7" s="34" t="inlineStr">
        <is>
          <t>Verify inline error under Academic levels displays 'Select at least one academic level.' when 0 levels selected</t>
        </is>
      </c>
      <c r="E7" s="35" t="inlineStr">
        <is>
          <t>Form Validation &amp; Feedback</t>
        </is>
      </c>
      <c r="F7" s="22" t="inlineStr">
        <is>
          <t>S2</t>
        </is>
      </c>
      <c r="G7" s="36" t="inlineStr">
        <is>
          <t>High</t>
        </is>
      </c>
      <c r="H7" s="24" t="inlineStr">
        <is>
          <t>Passed</t>
        </is>
      </c>
      <c r="I7" s="35" t="inlineStr">
        <is>
          <t>Validation</t>
        </is>
      </c>
      <c r="J7" s="37" t="inlineStr">
        <is>
          <t>MOE HQ Admin on /school-management/new.</t>
        </is>
      </c>
      <c r="K7" s="38" t="inlineStr">
        <is>
          <t>MOE Code: 'SCH-TEST-03', Name: 'Sample Institute', Type: 'Government', Levels: 0 selected</t>
        </is>
      </c>
      <c r="L7" s="39" t="inlineStr">
        <is>
          <t>1. Fill Code, Name, Type
2. Leave Academic levels with 0 selected
3. Click [Create school]
4. Inspect error beneath combobox</t>
        </is>
      </c>
      <c r="M7" s="39" t="inlineStr">
        <is>
          <t>1. Inline error 'Select at least one academic level.' renders beneath combobox
2. Combobox highlighted with error border</t>
        </is>
      </c>
      <c r="N7" s="40" t="inlineStr">
        <is>
          <t>Verified: Inline error 'Select at least one academic level.' rendered directly beneath combobox.</t>
        </is>
      </c>
      <c r="O7" s="41">
        <f>HYPERLINK("../../reports/fs03/fs03-school-create/test-results/RUN-20261025-87375D/tests-fs03-fs03-school-create-test_atomic_school_create_ac-py-test_tc_ac006_unselected_academic_levels_triggers_inline_error-chromium/video.webm", "🎬 Open 1080p Video")</f>
        <v/>
      </c>
      <c r="P7" s="42" t="inlineStr">
        <is>
          <t>tc_ac006_unselected_academic_levels_triggers_inline_error.webm</t>
        </is>
      </c>
      <c r="Q7" s="33" t="inlineStr">
        <is>
          <t>363.3 KB</t>
        </is>
      </c>
      <c r="R7" s="42" t="inlineStr">
        <is>
          <t>FS-03 §3.1 F01; F03; UI Spec</t>
        </is>
      </c>
    </row>
    <row r="8" ht="68" customHeight="1">
      <c r="A8" s="17" t="inlineStr">
        <is>
          <t>TC-FS03-SCH-AC-007</t>
        </is>
      </c>
      <c r="B8" s="18" t="inlineStr">
        <is>
          <t>TS-FS03-SCH-VAL</t>
        </is>
      </c>
      <c r="C8" s="19" t="inlineStr">
        <is>
          <t>AC</t>
        </is>
      </c>
      <c r="D8" s="20" t="inlineStr">
        <is>
          <t>Verify inline validation errors and red borders automatically clear when valid input is entered (Auto-dismissal)</t>
        </is>
      </c>
      <c r="E8" s="21" t="inlineStr">
        <is>
          <t>Form Validation &amp; Feedback</t>
        </is>
      </c>
      <c r="F8" s="24" t="inlineStr">
        <is>
          <t>S3</t>
        </is>
      </c>
      <c r="G8" s="43" t="inlineStr">
        <is>
          <t>Medium</t>
        </is>
      </c>
      <c r="H8" s="24" t="inlineStr">
        <is>
          <t>Passed</t>
        </is>
      </c>
      <c r="I8" s="21" t="inlineStr">
        <is>
          <t>UI</t>
        </is>
      </c>
      <c r="J8" s="25" t="inlineStr">
        <is>
          <t>Form in error state after empty submission.</t>
        </is>
      </c>
      <c r="K8" s="26" t="inlineStr">
        <is>
          <t>Enter valid code 'SCH-DISMISS-01' and name 'Auto Dismissal School'</t>
        </is>
      </c>
      <c r="L8" s="27" t="inlineStr">
        <is>
          <t>1. Trigger errors
2. Type valid code into #school-moeSchoolCode
3. Observe inline error under code
4. Type valid name into #school-name
5. Observe inline error under name</t>
        </is>
      </c>
      <c r="M8" s="27" t="inlineStr">
        <is>
          <t>1. Error messages disappear immediately upon typing valid values
2. aria-invalid resets to 'false'
3. Red borders removed</t>
        </is>
      </c>
      <c r="N8" s="28" t="inlineStr">
        <is>
          <t>Verified: Inline errors auto-dismiss immediately and aria-invalid resets to 'false'.</t>
        </is>
      </c>
      <c r="O8" s="29">
        <f>HYPERLINK("../../reports/fs03/fs03-school-create/test-results/RUN-20261025-87375D/tests-fs03-fs03-school-create-test-atomic-school-create-ac-py-test-tc-ac007-inline-errors-clear-when-valid-input-entered-chromium/video.webm", "🎬 Open 1080p Video")</f>
        <v/>
      </c>
      <c r="P8" s="30" t="inlineStr">
        <is>
          <t>tc_ac007_inline_errors_clear_when_valid_input_entered.webm</t>
        </is>
      </c>
      <c r="Q8" s="19" t="inlineStr">
        <is>
          <t>319.3 KB</t>
        </is>
      </c>
      <c r="R8" s="30" t="inlineStr">
        <is>
          <t>Rule 02 Lớp 11; UI Spec</t>
        </is>
      </c>
    </row>
    <row r="9" ht="68" customHeight="1">
      <c r="A9" s="31" t="inlineStr">
        <is>
          <t>TC-FS03-SCH-AC-008</t>
        </is>
      </c>
      <c r="B9" s="32" t="inlineStr">
        <is>
          <t>TS-FS03-SCH-LVL</t>
        </is>
      </c>
      <c r="C9" s="33" t="inlineStr">
        <is>
          <t>AC</t>
        </is>
      </c>
      <c r="D9" s="34" t="inlineStr">
        <is>
          <t>Verify selecting academic levels adds visible chips and updates selected counter text (e.g. '1 selected')</t>
        </is>
      </c>
      <c r="E9" s="35" t="inlineStr">
        <is>
          <t>Academic Levels Multi-Select</t>
        </is>
      </c>
      <c r="F9" s="24" t="inlineStr">
        <is>
          <t>S3</t>
        </is>
      </c>
      <c r="G9" s="44" t="inlineStr">
        <is>
          <t>Medium</t>
        </is>
      </c>
      <c r="H9" s="24" t="inlineStr">
        <is>
          <t>Passed</t>
        </is>
      </c>
      <c r="I9" s="35" t="inlineStr">
        <is>
          <t>UI</t>
        </is>
      </c>
      <c r="J9" s="37" t="inlineStr">
        <is>
          <t>MOE HQ Admin on /school-management/new.</t>
        </is>
      </c>
      <c r="K9" s="38" t="inlineStr">
        <is>
          <t>Select 'PRI-1 - Primary 1'</t>
        </is>
      </c>
      <c r="L9" s="39" t="inlineStr">
        <is>
          <t>1. Click #school-academicLevels combobox
2. Select 'PRI-1 - Primary 1'
3. Press Escape to close listbox
4. Inspect chip and counter text</t>
        </is>
      </c>
      <c r="M9" s="39" t="inlineStr">
        <is>
          <t>1. Chip 'PRI-1 - Primary 1' appears inside input container
2. Counter text updates from '0 selected' to '1 selected'</t>
        </is>
      </c>
      <c r="N9" s="40" t="inlineStr">
        <is>
          <t>Verified: Chip rendered cleanly and counter '#school-academicLevels-selected' reads '1 selected'.</t>
        </is>
      </c>
      <c r="O9" s="41">
        <f>HYPERLINK("../../reports/fs03/fs03-school-create/test-results/RUN-20261025-87375D/tests-fs03-fs03-school-create-test_atomic_school_create_ac-py-test_tc_ac008_selecting_academic_levels_adds_chips_and_updates_counter-chromium/video.webm", "🎬 Open 1080p Video")</f>
        <v/>
      </c>
      <c r="P9" s="42" t="inlineStr">
        <is>
          <t>tc_ac008_selecting_academic_levels_adds_chips_and_updates_counter.webm</t>
        </is>
      </c>
      <c r="Q9" s="33" t="inlineStr">
        <is>
          <t>269.4 KB</t>
        </is>
      </c>
      <c r="R9" s="42" t="inlineStr">
        <is>
          <t>FS-03 §3.1 F01; UI Spec</t>
        </is>
      </c>
    </row>
    <row r="10" ht="68" customHeight="1">
      <c r="A10" s="17" t="inlineStr">
        <is>
          <t>TC-FS03-SCH-AC-010</t>
        </is>
      </c>
      <c r="B10" s="18" t="inlineStr">
        <is>
          <t>TS-FS03-SCH-USR</t>
        </is>
      </c>
      <c r="C10" s="19" t="inlineStr">
        <is>
          <t>AC</t>
        </is>
      </c>
      <c r="D10" s="20" t="inlineStr">
        <is>
          <t>Verify selecting optional school users adds user chips and updates counter</t>
        </is>
      </c>
      <c r="E10" s="21" t="inlineStr">
        <is>
          <t>School Users Assignment</t>
        </is>
      </c>
      <c r="F10" s="24" t="inlineStr">
        <is>
          <t>S3</t>
        </is>
      </c>
      <c r="G10" s="43" t="inlineStr">
        <is>
          <t>Medium</t>
        </is>
      </c>
      <c r="H10" s="24" t="inlineStr">
        <is>
          <t>Passed</t>
        </is>
      </c>
      <c r="I10" s="21" t="inlineStr">
        <is>
          <t>UI</t>
        </is>
      </c>
      <c r="J10" s="25" t="inlineStr">
        <is>
          <t>MOE HQ Admin on /school-management/new; Active school users in database.</t>
        </is>
      </c>
      <c r="K10" s="26" t="inlineStr">
        <is>
          <t>Select first available user</t>
        </is>
      </c>
      <c r="L10" s="27" t="inlineStr">
        <is>
          <t>1. Click #school-schoolUsers combobox
2. Select available user option
3. Press Escape to close listbox
4. Inspect chip and counter text</t>
        </is>
      </c>
      <c r="M10" s="27" t="inlineStr">
        <is>
          <t>1. User chip rendered with user display name
2. Counter updates to '1 selected'</t>
        </is>
      </c>
      <c r="N10" s="28" t="inlineStr">
        <is>
          <t>Verified: School user chip rendered and counter updated properly.</t>
        </is>
      </c>
      <c r="O10" s="29">
        <f>HYPERLINK("../../reports/fs03/fs03-school-create/test-results/RUN-20261025-87375D/tests-fs03-fs03-school-create-test_atomic_school_create_ac-py-test_tc_ac010_selecting_school_user_adds_chip_and_updates_counter-chromium/video.webm", "🎬 Open 1080p Video")</f>
        <v/>
      </c>
      <c r="P10" s="30" t="inlineStr">
        <is>
          <t>tc_ac010_selecting_school_user_adds_chip_and_updates_counter.webm</t>
        </is>
      </c>
      <c r="Q10" s="19" t="inlineStr">
        <is>
          <t>220.4 KB</t>
        </is>
      </c>
      <c r="R10" s="30" t="inlineStr">
        <is>
          <t>FS-03 §3.1 F01; §3.2 F02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1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8" customWidth="1" min="2" max="2"/>
    <col width="14" customWidth="1" min="3" max="3"/>
    <col width="36" customWidth="1" min="4" max="4"/>
    <col width="26" customWidth="1" min="5" max="5"/>
    <col width="12" customWidth="1" min="6" max="6"/>
    <col width="12" customWidth="1" min="7" max="7"/>
    <col width="16" customWidth="1" min="8" max="8"/>
    <col width="14" customWidth="1" min="9" max="9"/>
    <col width="30" customWidth="1" min="10" max="10"/>
    <col width="32" customWidth="1" min="11" max="11"/>
    <col width="44" customWidth="1" min="12" max="12"/>
    <col width="42" customWidth="1" min="13" max="13"/>
    <col width="42" customWidth="1" min="14" max="14"/>
    <col width="30" customWidth="1" min="15" max="15"/>
    <col width="32" customWidth="1" min="16" max="16"/>
    <col width="16" customWidth="1" min="17" max="17"/>
    <col width="28" customWidth="1" min="18" max="18"/>
  </cols>
  <sheetData>
    <row r="1" ht="28" customHeight="1">
      <c r="A1" s="16" t="inlineStr">
        <is>
          <t>ID</t>
        </is>
      </c>
      <c r="B1" s="16" t="inlineStr">
        <is>
          <t>Scenario ID</t>
        </is>
      </c>
      <c r="C1" s="16" t="inlineStr">
        <is>
          <t>Pillar</t>
        </is>
      </c>
      <c r="D1" s="16" t="inlineStr">
        <is>
          <t>Title / Summary</t>
        </is>
      </c>
      <c r="E1" s="16" t="inlineStr">
        <is>
          <t>Test Suite</t>
        </is>
      </c>
      <c r="F1" s="16" t="inlineStr">
        <is>
          <t>Severity</t>
        </is>
      </c>
      <c r="G1" s="16" t="inlineStr">
        <is>
          <t>Priority</t>
        </is>
      </c>
      <c r="H1" s="16" t="inlineStr">
        <is>
          <t>Execution Status</t>
        </is>
      </c>
      <c r="I1" s="16" t="inlineStr">
        <is>
          <t>Test Type</t>
        </is>
      </c>
      <c r="J1" s="16" t="inlineStr">
        <is>
          <t>Preconditions</t>
        </is>
      </c>
      <c r="K1" s="16" t="inlineStr">
        <is>
          <t>Test Data / Payload</t>
        </is>
      </c>
      <c r="L1" s="16" t="inlineStr">
        <is>
          <t>Test Steps (Step-by-step)</t>
        </is>
      </c>
      <c r="M1" s="16" t="inlineStr">
        <is>
          <t>Expected Result (Per Spec/BR)</t>
        </is>
      </c>
      <c r="N1" s="16" t="inlineStr">
        <is>
          <t>Actual Result (Live Execution)</t>
        </is>
      </c>
      <c r="O1" s="16" t="inlineStr">
        <is>
          <t>1080p Video Evidence</t>
        </is>
      </c>
      <c r="P1" s="16" t="inlineStr">
        <is>
          <t>Video File Name</t>
        </is>
      </c>
      <c r="Q1" s="16" t="inlineStr">
        <is>
          <t>Video File Size</t>
        </is>
      </c>
      <c r="R1" s="16" t="inlineStr">
        <is>
          <t>Traceability</t>
        </is>
      </c>
    </row>
    <row r="2" ht="68" customHeight="1">
      <c r="A2" s="17" t="inlineStr">
        <is>
          <t>TC-FS03-SCH-COD-002</t>
        </is>
      </c>
      <c r="B2" s="18" t="inlineStr">
        <is>
          <t>TS-FS03-SCH-COD</t>
        </is>
      </c>
      <c r="C2" s="19" t="inlineStr">
        <is>
          <t>TECH_UI</t>
        </is>
      </c>
      <c r="D2" s="20" t="inlineStr">
        <is>
          <t>Verify MOE school code all-whitespace input is treated as empty per ASM-15 and triggers required error</t>
        </is>
      </c>
      <c r="E2" s="21" t="inlineStr">
        <is>
          <t>MOE School Code Matrix</t>
        </is>
      </c>
      <c r="F2" s="22" t="inlineStr">
        <is>
          <t>S2</t>
        </is>
      </c>
      <c r="G2" s="23" t="inlineStr">
        <is>
          <t>High</t>
        </is>
      </c>
      <c r="H2" s="24" t="inlineStr">
        <is>
          <t>Passed</t>
        </is>
      </c>
      <c r="I2" s="21" t="inlineStr">
        <is>
          <t>Negative</t>
        </is>
      </c>
      <c r="J2" s="25" t="inlineStr">
        <is>
          <t>MOE HQ Admin on /school-management/new.</t>
        </is>
      </c>
      <c r="K2" s="26" t="inlineStr">
        <is>
          <t>MOE Code: '     ' (spaces only)</t>
        </is>
      </c>
      <c r="L2" s="27" t="inlineStr">
        <is>
          <t>1. Type only spaces into MOE school code
2. Fill Name, Type, Level
3. Click [Create school]
4. Inspect validation error</t>
        </is>
      </c>
      <c r="M2" s="27" t="inlineStr">
        <is>
          <t>1. Whitespace trimmed and field evaluated as empty
2. Displays 'MOE school code is required.'
3. Submission blocked</t>
        </is>
      </c>
      <c r="N2" s="28" t="inlineStr">
        <is>
          <t>Verified: All-whitespace MOE code treated as empty, triggering 'MOE school code is required.' per ASM-15.</t>
        </is>
      </c>
      <c r="O2" s="29">
        <f>HYPERLINK("../../reports/fs03/fs03-school-create/test-results/RUN-20261025-87375D/tests-fs03-fs03-school-create-test-atomic-school-create-tech-ui-py-test-tc-cod002-all-whitespace-moe-code-triggers-required-error-chromium/video.webm", "🎬 Open 1080p Video")</f>
        <v/>
      </c>
      <c r="P2" s="30" t="inlineStr">
        <is>
          <t>tc_cod002_all_whitespace_moe_code_triggers_required_error.webm</t>
        </is>
      </c>
      <c r="Q2" s="19" t="inlineStr">
        <is>
          <t>349.2 KB</t>
        </is>
      </c>
      <c r="R2" s="30" t="inlineStr">
        <is>
          <t>Rule 02 Lớp 3; ASM-15</t>
        </is>
      </c>
    </row>
    <row r="3" ht="68" customHeight="1">
      <c r="A3" s="31" t="inlineStr">
        <is>
          <t>TC-FS03-SCH-COD-004</t>
        </is>
      </c>
      <c r="B3" s="32" t="inlineStr">
        <is>
          <t>TS-FS03-SCH-COD</t>
        </is>
      </c>
      <c r="C3" s="33" t="inlineStr">
        <is>
          <t>TECH_UI</t>
        </is>
      </c>
      <c r="D3" s="34" t="inlineStr">
        <is>
          <t>Verify MOE school code accepts valid alphanumeric and hyphenated patterns (e.g. HCI-0102, MPS-0301)</t>
        </is>
      </c>
      <c r="E3" s="35" t="inlineStr">
        <is>
          <t>MOE School Code Matrix</t>
        </is>
      </c>
      <c r="F3" s="24" t="inlineStr">
        <is>
          <t>S3</t>
        </is>
      </c>
      <c r="G3" s="44" t="inlineStr">
        <is>
          <t>Medium</t>
        </is>
      </c>
      <c r="H3" s="24" t="inlineStr">
        <is>
          <t>Passed</t>
        </is>
      </c>
      <c r="I3" s="35" t="inlineStr">
        <is>
          <t>Functional</t>
        </is>
      </c>
      <c r="J3" s="37" t="inlineStr">
        <is>
          <t>MOE HQ Admin on /school-management/new.</t>
        </is>
      </c>
      <c r="K3" s="38" t="inlineStr">
        <is>
          <t>Codes: 'HCI-0102', 'MPS-0301', 'NYPS-0202'</t>
        </is>
      </c>
      <c r="L3" s="39" t="inlineStr">
        <is>
          <t>1. Enter Singapore school code patterns
2. Verify input value acceptance</t>
        </is>
      </c>
      <c r="M3" s="39" t="inlineStr">
        <is>
          <t>1. Alphanumeric strings with uppercase letters, numbers, and hyphens accepted cleanly</t>
        </is>
      </c>
      <c r="N3" s="40" t="inlineStr">
        <is>
          <t>Verified: Singapore MOE school code formats accepted without validation rejection.</t>
        </is>
      </c>
      <c r="O3" s="41">
        <f>HYPERLINK("../../reports/fs03/fs03-school-create/test-results/RUN-20261025-87375D/tests-fs03-fs03-school-create-test_atomic_school_create_tech_ui-py-test_tc_cod004_alphanumeric_school_code_format-chromium/video.webm", "🎬 Open 1080p Video")</f>
        <v/>
      </c>
      <c r="P3" s="42" t="inlineStr">
        <is>
          <t>tc_cod004_alphanumeric_school_code_format.webm</t>
        </is>
      </c>
      <c r="Q3" s="33" t="inlineStr">
        <is>
          <t>219.1 KB</t>
        </is>
      </c>
      <c r="R3" s="42" t="inlineStr">
        <is>
          <t>Rule 02 Nhóm 3; FS-03 §3.1 F01</t>
        </is>
      </c>
    </row>
    <row r="4" ht="68" customHeight="1">
      <c r="A4" s="17" t="inlineStr">
        <is>
          <t>TC-FS03-SCH-COD-007</t>
        </is>
      </c>
      <c r="B4" s="18" t="inlineStr">
        <is>
          <t>TS-FS03-SCH-COD</t>
        </is>
      </c>
      <c r="C4" s="19" t="inlineStr">
        <is>
          <t>TECH_UI</t>
        </is>
      </c>
      <c r="D4" s="20" t="inlineStr">
        <is>
          <t>Verify XSS injection payload in MOE school code is sanitized and rendered safely as plain text</t>
        </is>
      </c>
      <c r="E4" s="21" t="inlineStr">
        <is>
          <t>MOE School Code Matrix</t>
        </is>
      </c>
      <c r="F4" s="45" t="inlineStr">
        <is>
          <t>S1</t>
        </is>
      </c>
      <c r="G4" s="23" t="inlineStr">
        <is>
          <t>Critical</t>
        </is>
      </c>
      <c r="H4" s="24" t="inlineStr">
        <is>
          <t>Passed</t>
        </is>
      </c>
      <c r="I4" s="21" t="inlineStr">
        <is>
          <t>Security</t>
        </is>
      </c>
      <c r="J4" s="25" t="inlineStr">
        <is>
          <t>MOE HQ Admin on /school-management/new; Dialog listener attached.</t>
        </is>
      </c>
      <c r="K4" s="26" t="inlineStr">
        <is>
          <t>MOE Code: `&lt;script&gt;alert('xss-code')&lt;/script&gt;`</t>
        </is>
      </c>
      <c r="L4" s="27" t="inlineStr">
        <is>
          <t>1. Enter XSS payload into MOE school code
2. Submit form
3. Verify zero unhandled dialog execution</t>
        </is>
      </c>
      <c r="M4" s="27" t="inlineStr">
        <is>
          <t>1. HTML entities encoded
2. Zero JavaScript execution
3. Zero alert dialogs triggered</t>
        </is>
      </c>
      <c r="N4" s="28" t="inlineStr">
        <is>
          <t>Verified: React JSX auto-escapes payload; 0 dialogs triggered, no unhandled script execution.</t>
        </is>
      </c>
      <c r="O4" s="29">
        <f>HYPERLINK("../../reports/fs03/fs03-school-create/test-results/RUN-20261025-87375D/tests-fs03-fs03-school-create-test-atomic-school-create-tech-ui-py-test-tc-cod007-xss-injection-in-moe-code-is-sanitized-chromium/video.webm", "🎬 Open 1080p Video")</f>
        <v/>
      </c>
      <c r="P4" s="30" t="inlineStr">
        <is>
          <t>tc_cod007_xss_injection_in_moe_code_is_sanitized.webm</t>
        </is>
      </c>
      <c r="Q4" s="19" t="inlineStr">
        <is>
          <t>292.2 KB</t>
        </is>
      </c>
      <c r="R4" s="30" t="inlineStr">
        <is>
          <t>Rule 02 Lớp 10; OWASP Top 10 A3</t>
        </is>
      </c>
    </row>
    <row r="5" ht="68" customHeight="1">
      <c r="A5" s="31" t="inlineStr">
        <is>
          <t>TC-FS03-SCH-NAM-002</t>
        </is>
      </c>
      <c r="B5" s="32" t="inlineStr">
        <is>
          <t>TS-FS03-SCH-NAM</t>
        </is>
      </c>
      <c r="C5" s="33" t="inlineStr">
        <is>
          <t>TECH_UI</t>
        </is>
      </c>
      <c r="D5" s="34" t="inlineStr">
        <is>
          <t>Verify School name all-whitespace input is treated as empty per ASM-15 and triggers required error</t>
        </is>
      </c>
      <c r="E5" s="35" t="inlineStr">
        <is>
          <t>School Name Matrix</t>
        </is>
      </c>
      <c r="F5" s="22" t="inlineStr">
        <is>
          <t>S2</t>
        </is>
      </c>
      <c r="G5" s="36" t="inlineStr">
        <is>
          <t>High</t>
        </is>
      </c>
      <c r="H5" s="24" t="inlineStr">
        <is>
          <t>Passed</t>
        </is>
      </c>
      <c r="I5" s="35" t="inlineStr">
        <is>
          <t>Negative</t>
        </is>
      </c>
      <c r="J5" s="37" t="inlineStr">
        <is>
          <t>MOE HQ Admin on /school-management/new.</t>
        </is>
      </c>
      <c r="K5" s="38" t="inlineStr">
        <is>
          <t>School Name: '        ' (spaces only)</t>
        </is>
      </c>
      <c r="L5" s="39" t="inlineStr">
        <is>
          <t>1. Enter MOE code 'SCH-WHITE-01'
2. Enter 8 space characters into School name
3. Select Type and Level
4. Click [Create school]
5. Inspect validation error</t>
        </is>
      </c>
      <c r="M5" s="39" t="inlineStr">
        <is>
          <t>1. Whitespace trimmed and name evaluated as empty
2. Displays 'School name is required.'
3. Submission blocked</t>
        </is>
      </c>
      <c r="N5" s="40" t="inlineStr">
        <is>
          <t>Verified: All-whitespace School name triggers 'School name is required.' per ASM-15.</t>
        </is>
      </c>
      <c r="O5" s="41">
        <f>HYPERLINK("../../reports/fs03/fs03-school-create/test-results/RUN-20261025-87375D/tests-fs03-fs03-school-create-test_atomic_school_create_tech_ui-py-test_tc_nam002_all_whitespace_school_name_triggers_required_error-chromium/video.webm", "🎬 Open 1080p Video")</f>
        <v/>
      </c>
      <c r="P5" s="42" t="inlineStr">
        <is>
          <t>tc_nam002_all_whitespace_school_name_triggers_required_error.webm</t>
        </is>
      </c>
      <c r="Q5" s="33" t="inlineStr">
        <is>
          <t>299.8 KB</t>
        </is>
      </c>
      <c r="R5" s="42" t="inlineStr">
        <is>
          <t>Rule 02 Lớp 3; ASM-15</t>
        </is>
      </c>
    </row>
    <row r="6" ht="68" customHeight="1">
      <c r="A6" s="17" t="inlineStr">
        <is>
          <t>TC-FS03-SCH-NAM-004</t>
        </is>
      </c>
      <c r="B6" s="18" t="inlineStr">
        <is>
          <t>TS-FS03-SCH-NAM</t>
        </is>
      </c>
      <c r="C6" s="19" t="inlineStr">
        <is>
          <t>TECH_UI</t>
        </is>
      </c>
      <c r="D6" s="20" t="inlineStr">
        <is>
          <t>Verify School name preserves Singapore multicultural Unicode characters (Chinese, Malay, Tamil, Vietnamese)</t>
        </is>
      </c>
      <c r="E6" s="21" t="inlineStr">
        <is>
          <t>School Name Matrix</t>
        </is>
      </c>
      <c r="F6" s="24" t="inlineStr">
        <is>
          <t>S3</t>
        </is>
      </c>
      <c r="G6" s="43" t="inlineStr">
        <is>
          <t>Medium</t>
        </is>
      </c>
      <c r="H6" s="24" t="inlineStr">
        <is>
          <t>Passed</t>
        </is>
      </c>
      <c r="I6" s="21" t="inlineStr">
        <is>
          <t>Functional</t>
        </is>
      </c>
      <c r="J6" s="25" t="inlineStr">
        <is>
          <t>MOE HQ Admin on /school-management/new.</t>
        </is>
      </c>
      <c r="K6" s="26" t="inlineStr">
        <is>
          <t>'华中科技学院 (Hwa Chong)', 'Sekolah Menengah Kebangsaan', 'Trường Quốc tế Singapore', "St. Joseph's Institution - Junior"</t>
        </is>
      </c>
      <c r="L6" s="27" t="inlineStr">
        <is>
          <t>1. Enter multicultural school names
2. Verify text value preservation in DOM</t>
        </is>
      </c>
      <c r="M6" s="27" t="inlineStr">
        <is>
          <t>1. Unicode characters preserved without mojibake or character loss</t>
        </is>
      </c>
      <c r="N6" s="28" t="inlineStr">
        <is>
          <t>Verified: 100% UTF-8 character fidelity preserved across multicultural names.</t>
        </is>
      </c>
      <c r="O6" s="29">
        <f>HYPERLINK("../../reports/fs03/fs03-school-create/test-results/RUN-20261025-87375D/tests-fs03-fs03-school-create-test_atomic_school_create_tech_ui-py-test_tc_nam004_multicultural_unicode_school_names-chromium/video.webm", "🎬 Open 1080p Video")</f>
        <v/>
      </c>
      <c r="P6" s="30" t="inlineStr">
        <is>
          <t>tc_nam004_multicultural_unicode_school_names.webm</t>
        </is>
      </c>
      <c r="Q6" s="19" t="inlineStr">
        <is>
          <t>246.2 KB</t>
        </is>
      </c>
      <c r="R6" s="30" t="inlineStr">
        <is>
          <t>Rule 02 Lớp 9; FS-03 §3.1 F01</t>
        </is>
      </c>
    </row>
    <row r="7" ht="68" customHeight="1">
      <c r="A7" s="31" t="inlineStr">
        <is>
          <t>TC-FS03-SCH-NAM-007</t>
        </is>
      </c>
      <c r="B7" s="32" t="inlineStr">
        <is>
          <t>TS-FS03-SCH-NAM</t>
        </is>
      </c>
      <c r="C7" s="33" t="inlineStr">
        <is>
          <t>TECH_UI</t>
        </is>
      </c>
      <c r="D7" s="34" t="inlineStr">
        <is>
          <t>Verify pasting 1000+ characters into School name does not freeze browser or break card layout (Stress Paste)</t>
        </is>
      </c>
      <c r="E7" s="35" t="inlineStr">
        <is>
          <t>School Name Matrix</t>
        </is>
      </c>
      <c r="F7" s="24" t="inlineStr">
        <is>
          <t>S3</t>
        </is>
      </c>
      <c r="G7" s="44" t="inlineStr">
        <is>
          <t>Medium</t>
        </is>
      </c>
      <c r="H7" s="24" t="inlineStr">
        <is>
          <t>Passed</t>
        </is>
      </c>
      <c r="I7" s="35" t="inlineStr">
        <is>
          <t>Stress</t>
        </is>
      </c>
      <c r="J7" s="37" t="inlineStr">
        <is>
          <t>MOE HQ Admin on /school-management/new.</t>
        </is>
      </c>
      <c r="K7" s="38" t="inlineStr">
        <is>
          <t>'SchoolNameLong' * 72 (1008 characters)</t>
        </is>
      </c>
      <c r="L7" s="39" t="inlineStr">
        <is>
          <t>1. Paste 1008 characters into School name input
2. Verify browser UI responsiveness and layout overflow check</t>
        </is>
      </c>
      <c r="M7" s="39" t="inlineStr">
        <is>
          <t>1. Browser remains responsive (0 freeze)
2. Layout does not trigger horizontal window scrollbar (scrollWidth &lt;= innerWidth)</t>
        </is>
      </c>
      <c r="N7" s="40" t="inlineStr">
        <is>
          <t>Verified: 1000+ characters handled without browser lockup or layout overflow.</t>
        </is>
      </c>
      <c r="O7" s="41">
        <f>HYPERLINK("../../reports/fs03/fs03-school-create/test-results/RUN-20261025-87375D/tests-fs03-fs03-school-create-test_atomic_school_create_tech_ui-py-test_tc_nam007_stress_paste_1000_chars_into_name-chromium/video.webm", "🎬 Open 1080p Video")</f>
        <v/>
      </c>
      <c r="P7" s="42" t="inlineStr">
        <is>
          <t>tc_nam007_stress_paste_1000_chars_into_name.webm</t>
        </is>
      </c>
      <c r="Q7" s="33" t="inlineStr">
        <is>
          <t>255.9 KB</t>
        </is>
      </c>
      <c r="R7" s="42" t="inlineStr">
        <is>
          <t>Rule 02 Lớp 7; AGENTS.md Invariant 7</t>
        </is>
      </c>
    </row>
    <row r="8" ht="68" customHeight="1">
      <c r="A8" s="17" t="inlineStr">
        <is>
          <t>TC-FS03-SCH-TYP-001</t>
        </is>
      </c>
      <c r="B8" s="18" t="inlineStr">
        <is>
          <t>TS-FS03-SCH-TYP</t>
        </is>
      </c>
      <c r="C8" s="19" t="inlineStr">
        <is>
          <t>TECH_UI</t>
        </is>
      </c>
      <c r="D8" s="20" t="inlineStr">
        <is>
          <t>Verify School type select renders placeholder 'Select a school type' with empty value by default</t>
        </is>
      </c>
      <c r="E8" s="21" t="inlineStr">
        <is>
          <t>School Type Select Matrix</t>
        </is>
      </c>
      <c r="F8" s="24" t="inlineStr">
        <is>
          <t>S3</t>
        </is>
      </c>
      <c r="G8" s="43" t="inlineStr">
        <is>
          <t>Medium</t>
        </is>
      </c>
      <c r="H8" s="24" t="inlineStr">
        <is>
          <t>Passed</t>
        </is>
      </c>
      <c r="I8" s="21" t="inlineStr">
        <is>
          <t>UI</t>
        </is>
      </c>
      <c r="J8" s="25" t="inlineStr">
        <is>
          <t>MOE HQ Admin on /school-management/new.</t>
        </is>
      </c>
      <c r="K8" s="26" t="inlineStr">
        <is>
          <t>N/A</t>
        </is>
      </c>
      <c r="L8" s="27" t="inlineStr">
        <is>
          <t>1. Load /school-management/new
2. Inspect value and selected index of #school-schoolType</t>
        </is>
      </c>
      <c r="M8" s="27" t="inlineStr">
        <is>
          <t>1. Default selected text is 'Select a school type'
2. Value is empty string ''</t>
        </is>
      </c>
      <c r="N8" s="28" t="inlineStr">
        <is>
          <t>Verified: Default select value is empty string with placeholder 'Select a school type'.</t>
        </is>
      </c>
      <c r="O8" s="29">
        <f>HYPERLINK("../../reports/fs03/fs03-school-create/test-results/RUN-20261025-87375D/tests-fs03-fs03-school-create-test_atomic_school_create_tech_ui-py-test_tc_typ001_default_placeholder_option-chromium/video.webm", "🎬 Open 1080p Video")</f>
        <v/>
      </c>
      <c r="P8" s="30" t="inlineStr">
        <is>
          <t>tc_typ001_default_placeholder_option.webm</t>
        </is>
      </c>
      <c r="Q8" s="19" t="inlineStr">
        <is>
          <t>195.0 KB</t>
        </is>
      </c>
      <c r="R8" s="30" t="inlineStr">
        <is>
          <t>Rule 02 Nhóm 5; UI Spec</t>
        </is>
      </c>
    </row>
    <row r="9" ht="68" customHeight="1">
      <c r="A9" s="31" t="inlineStr">
        <is>
          <t>TC-FS03-SCH-TYP-002</t>
        </is>
      </c>
      <c r="B9" s="32" t="inlineStr">
        <is>
          <t>TS-FS03-SCH-TYP</t>
        </is>
      </c>
      <c r="C9" s="33" t="inlineStr">
        <is>
          <t>TECH_UI</t>
        </is>
      </c>
      <c r="D9" s="34" t="inlineStr">
        <is>
          <t>Verify School type dropdown renders all 5 valid Singapore School Types in exact specified order</t>
        </is>
      </c>
      <c r="E9" s="35" t="inlineStr">
        <is>
          <t>School Type Select Matrix</t>
        </is>
      </c>
      <c r="F9" s="22" t="inlineStr">
        <is>
          <t>S2</t>
        </is>
      </c>
      <c r="G9" s="36" t="inlineStr">
        <is>
          <t>High</t>
        </is>
      </c>
      <c r="H9" s="24" t="inlineStr">
        <is>
          <t>Passed</t>
        </is>
      </c>
      <c r="I9" s="35" t="inlineStr">
        <is>
          <t>UI</t>
        </is>
      </c>
      <c r="J9" s="37" t="inlineStr">
        <is>
          <t>MOE HQ Admin on /school-management/new.</t>
        </is>
      </c>
      <c r="K9" s="38" t="inlineStr">
        <is>
          <t>Expected: ['Select a school type', 'Government', 'Government aided', 'Autonomous', 'Independent', 'Specialised']</t>
        </is>
      </c>
      <c r="L9" s="39" t="inlineStr">
        <is>
          <t>1. Query all options from #school-schoolType
2. Verify presence of all 5 approved Singapore classifications</t>
        </is>
      </c>
      <c r="M9" s="39" t="inlineStr">
        <is>
          <t>1. Exact approved Singapore school types present in exact enum order</t>
        </is>
      </c>
      <c r="N9" s="40" t="inlineStr">
        <is>
          <t>Verified: All 5 Singapore school types present and properly ordered in dropdown.</t>
        </is>
      </c>
      <c r="O9" s="41">
        <f>HYPERLINK("../../reports/fs03/fs03-school-create/test-results/RUN-20261025-87375D/tests-fs03-fs03-school-create-test-atomic-school-create-tech-ui-py-test-tc-typ002-dropdown-renders-approved-singapore-school-types-chromium/video.webm", "🎬 Open 1080p Video")</f>
        <v/>
      </c>
      <c r="P9" s="42" t="inlineStr">
        <is>
          <t>tc_typ002_dropdown_renders_approved_singapore_school_types.webm</t>
        </is>
      </c>
      <c r="Q9" s="33" t="inlineStr">
        <is>
          <t>195.4 KB</t>
        </is>
      </c>
      <c r="R9" s="42" t="inlineStr">
        <is>
          <t>Rule 02 Nhóm 5; WA-R3-10; Q18</t>
        </is>
      </c>
    </row>
    <row r="10" ht="68" customHeight="1">
      <c r="A10" s="17" t="inlineStr">
        <is>
          <t>TC-FS03-SCH-NFR-001</t>
        </is>
      </c>
      <c r="B10" s="18" t="inlineStr">
        <is>
          <t>TS-FS03-SCH-NFR</t>
        </is>
      </c>
      <c r="C10" s="19" t="inlineStr">
        <is>
          <t>TECH_UI</t>
        </is>
      </c>
      <c r="D10" s="20" t="inlineStr">
        <is>
          <t>Verify Invariant 7 UI Health: Zero uncaught JavaScript errors in browser console during full page lifecycle</t>
        </is>
      </c>
      <c r="E10" s="21" t="inlineStr">
        <is>
          <t>UI Health &amp; Invariant 7</t>
        </is>
      </c>
      <c r="F10" s="22" t="inlineStr">
        <is>
          <t>S2</t>
        </is>
      </c>
      <c r="G10" s="23" t="inlineStr">
        <is>
          <t>High</t>
        </is>
      </c>
      <c r="H10" s="24" t="inlineStr">
        <is>
          <t>Passed</t>
        </is>
      </c>
      <c r="I10" s="21" t="inlineStr">
        <is>
          <t>NonFunctional</t>
        </is>
      </c>
      <c r="J10" s="25" t="inlineStr">
        <is>
          <t>MOE HQ Admin on /school-management/new; Console listener attached.</t>
        </is>
      </c>
      <c r="K10" s="26" t="inlineStr">
        <is>
          <t>Full form interaction lifecycle</t>
        </is>
      </c>
      <c r="L10" s="27" t="inlineStr">
        <is>
          <t>1. Interact with all form controls
2. Trigger empty submit errors
3. Fill valid inputs and select options
4. Inspect captured console error count</t>
        </is>
      </c>
      <c r="M10" s="27" t="inlineStr">
        <is>
          <t>1. console.error count equals 0
2. Zero unhandled promise rejections or React render crashes</t>
        </is>
      </c>
      <c r="N10" s="28" t="inlineStr">
        <is>
          <t>Verified: Exactly 0 console errors captured throughout complete page interaction cycle.</t>
        </is>
      </c>
      <c r="O10" s="29">
        <f>HYPERLINK("../../reports/fs03/fs03-school-create/test-results/RUN-20261025-87375D/tests-fs03-fs03-school-create-test_atomic_school_create_tech_ui-py-test_tc_nfr001_zero_console_errors_during_form_lifecycle-chromium/video.webm", "🎬 Open 1080p Video")</f>
        <v/>
      </c>
      <c r="P10" s="30" t="inlineStr">
        <is>
          <t>tc_nfr001_zero_console_errors_during_form_lifecycle.webm</t>
        </is>
      </c>
      <c r="Q10" s="19" t="inlineStr">
        <is>
          <t>411.2 KB</t>
        </is>
      </c>
      <c r="R10" s="30" t="inlineStr">
        <is>
          <t>AGENTS.md Invariant 7; Rule 02 Mục 9</t>
        </is>
      </c>
    </row>
    <row r="11" ht="68" customHeight="1">
      <c r="A11" s="31" t="inlineStr">
        <is>
          <t>TC-FS03-SCH-NFR-002</t>
        </is>
      </c>
      <c r="B11" s="32" t="inlineStr">
        <is>
          <t>TS-FS03-SCH-NFR</t>
        </is>
      </c>
      <c r="C11" s="33" t="inlineStr">
        <is>
          <t>TECH_UI</t>
        </is>
      </c>
      <c r="D11" s="34" t="inlineStr">
        <is>
          <t>Verify zero horizontal scrollbar (scrollWidth &lt;= clientWidth) at desktop viewports (1280x720, 1920x1080)</t>
        </is>
      </c>
      <c r="E11" s="35" t="inlineStr">
        <is>
          <t>UI Health &amp; Invariant 7</t>
        </is>
      </c>
      <c r="F11" s="24" t="inlineStr">
        <is>
          <t>S3</t>
        </is>
      </c>
      <c r="G11" s="44" t="inlineStr">
        <is>
          <t>Medium</t>
        </is>
      </c>
      <c r="H11" s="24" t="inlineStr">
        <is>
          <t>Passed</t>
        </is>
      </c>
      <c r="I11" s="35" t="inlineStr">
        <is>
          <t>NonFunctional</t>
        </is>
      </c>
      <c r="J11" s="37" t="inlineStr">
        <is>
          <t>MOE HQ Admin on /school-management/new.</t>
        </is>
      </c>
      <c r="K11" s="38" t="inlineStr">
        <is>
          <t>Viewports: 1280x720 (HD), 1920x1080 (FHD)</t>
        </is>
      </c>
      <c r="L11" s="39" t="inlineStr">
        <is>
          <t>1. Set viewport to 1280x720 and 1920x1080
2. Execute document.documentElement.scrollWidth &gt; window.innerWidth check</t>
        </is>
      </c>
      <c r="M11" s="39" t="inlineStr">
        <is>
          <t>1. scrollWidth &lt;= innerWidth
2. Zero horizontal layout overflow</t>
        </is>
      </c>
      <c r="N11" s="40" t="inlineStr">
        <is>
          <t>Verified: Zero horizontal scrollbars detected across all standard desktop viewports.</t>
        </is>
      </c>
      <c r="O11" s="41">
        <f>HYPERLINK("../../reports/fs03/fs03-school-create/test-results/RUN-20261025-87375D/tests-fs03-fs03-school-create-test_atomic_school_create_tech_ui-py-test_tc_nfr002_zero_horizontal_scrollbar_at_desktop_viewports-chromium/video.webm", "🎬 Open 1080p Video")</f>
        <v/>
      </c>
      <c r="P11" s="42" t="inlineStr">
        <is>
          <t>tc_nfr002_zero_horizontal_scrollbar_at_desktop_viewports.webm</t>
        </is>
      </c>
      <c r="Q11" s="33" t="inlineStr">
        <is>
          <t>296.4 KB</t>
        </is>
      </c>
      <c r="R11" s="42" t="inlineStr">
        <is>
          <t>AGENTS.md Invariant 7; Rule 02 Mục 9</t>
        </is>
      </c>
    </row>
    <row r="12" ht="68" customHeight="1">
      <c r="A12" s="17" t="inlineStr">
        <is>
          <t>TC-FS03-SCH-NFR-003</t>
        </is>
      </c>
      <c r="B12" s="18" t="inlineStr">
        <is>
          <t>TS-FS03-SCH-NFR</t>
        </is>
      </c>
      <c r="C12" s="19" t="inlineStr">
        <is>
          <t>TECH_UI</t>
        </is>
      </c>
      <c r="D12" s="20" t="inlineStr">
        <is>
          <t>Verify anti-i18n leakage: Zero raw translation keys (features.*, school.*) in rendered DOM</t>
        </is>
      </c>
      <c r="E12" s="21" t="inlineStr">
        <is>
          <t>UI Health &amp; Invariant 7</t>
        </is>
      </c>
      <c r="F12" s="22" t="inlineStr">
        <is>
          <t>S2</t>
        </is>
      </c>
      <c r="G12" s="23" t="inlineStr">
        <is>
          <t>High</t>
        </is>
      </c>
      <c r="H12" s="24" t="inlineStr">
        <is>
          <t>Passed</t>
        </is>
      </c>
      <c r="I12" s="21" t="inlineStr">
        <is>
          <t>NonFunctional</t>
        </is>
      </c>
      <c r="J12" s="25" t="inlineStr">
        <is>
          <t>MOE HQ Admin on /school-management/new in error state.</t>
        </is>
      </c>
      <c r="K12" s="26" t="inlineStr">
        <is>
          <t>Regex patterns: features.*, school.*, validation.*</t>
        </is>
      </c>
      <c r="L12" s="27" t="inlineStr">
        <is>
          <t>1. Trigger all validation errors on form
2. Scan entire DOM text content with regex `\b(features\.[a-zA-Z0-9_.]+|school\.[a-zA-Z0-9_.]+|validation\.[a-zA-Z0-9_.]+)\b`
3. Verify matched key count</t>
        </is>
      </c>
      <c r="M12" s="27" t="inlineStr">
        <is>
          <t>1. Zero raw translation keys found in rendered DOM
2. All labels and messages are human-readable English text</t>
        </is>
      </c>
      <c r="N12" s="28" t="inlineStr">
        <is>
          <t>Verified: Exactly 0 raw translation keys found in rendered DOM.</t>
        </is>
      </c>
      <c r="O12" s="29">
        <f>HYPERLINK("../../reports/fs03/fs03-school-create/test-results/RUN-20261025-87375D/tests-fs03-fs03-school-create-test_atomic_school_create_tech_ui-py-test_tc_nfr003_anti_i18n_leakage_in_rendered_dom-chromium/video.webm", "🎬 Open 1080p Video")</f>
        <v/>
      </c>
      <c r="P12" s="30" t="inlineStr">
        <is>
          <t>tc_nfr003_anti_i18n_leakage_in_rendered_dom.webm</t>
        </is>
      </c>
      <c r="Q12" s="19" t="inlineStr">
        <is>
          <t>271.7 KB</t>
        </is>
      </c>
      <c r="R12" s="30" t="inlineStr">
        <is>
          <t>Rule 02 Lớp 11; UI Spec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2026-10-26T13:57:48Z</dcterms:created>
  <dcterms:modified xmlns:dcterms="http://purl.org/dc/terms/" xmlns:xsi="http://www.w3.org/2001/XMLSchema-instance" xsi:type="dcterms:W3CDTF">2026-10-26T13:57:48Z</dcterms:modified>
</cp:coreProperties>
</file>